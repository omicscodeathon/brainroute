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G:\Box Sync\2023 - PAMPA permeability QSAR model\BBB QSAR\Manuscript\Frontiers in Toxicology\"/>
    </mc:Choice>
  </mc:AlternateContent>
  <xr:revisionPtr revIDLastSave="0" documentId="13_ncr:1_{94860E63-624E-4EF2-ACA2-76BD6FAD467E}" xr6:coauthVersionLast="47" xr6:coauthVersionMax="47" xr10:uidLastSave="{00000000-0000-0000-0000-000000000000}"/>
  <bookViews>
    <workbookView xWindow="-120" yWindow="-120" windowWidth="29040" windowHeight="15840" activeTab="2" xr2:uid="{44FC72D8-1180-46A9-87CF-5E02233C7FC2}"/>
  </bookViews>
  <sheets>
    <sheet name="Table S1" sheetId="3" r:id="rId1"/>
    <sheet name="Table S2" sheetId="4" r:id="rId2"/>
    <sheet name="Table S3" sheetId="9" r:id="rId3"/>
    <sheet name="Table S4" sheetId="2" r:id="rId4"/>
    <sheet name="Table S5" sheetId="5" r:id="rId5"/>
    <sheet name="Table S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Y4" i="2"/>
  <c r="X4" i="2"/>
  <c r="W4" i="2"/>
  <c r="V4" i="2"/>
  <c r="U4" i="2"/>
  <c r="T4" i="2"/>
  <c r="S4" i="2"/>
  <c r="R4" i="2"/>
  <c r="Q4" i="2"/>
  <c r="P4" i="2"/>
  <c r="O4" i="2"/>
  <c r="N4" i="2"/>
  <c r="M4" i="2"/>
  <c r="L4" i="2"/>
  <c r="K4" i="2"/>
  <c r="J4" i="2"/>
  <c r="H4" i="2"/>
  <c r="G4" i="2"/>
  <c r="F4" i="2"/>
  <c r="E4" i="2"/>
  <c r="D4" i="2"/>
  <c r="C4" i="2"/>
</calcChain>
</file>

<file path=xl/sharedStrings.xml><?xml version="1.0" encoding="utf-8"?>
<sst xmlns="http://schemas.openxmlformats.org/spreadsheetml/2006/main" count="1603" uniqueCount="625">
  <si>
    <t>Chemical</t>
  </si>
  <si>
    <t xml:space="preserve">Aldicarb </t>
  </si>
  <si>
    <t>O-Ethyl O-(4-nitrophenyl) phenylphosphonothioate</t>
  </si>
  <si>
    <t>Endrin</t>
  </si>
  <si>
    <t>Fenamiphos</t>
  </si>
  <si>
    <t>Methyl parathion</t>
  </si>
  <si>
    <t>Disulfoton</t>
  </si>
  <si>
    <t>Dichlorvos</t>
  </si>
  <si>
    <t>Dimethoate</t>
  </si>
  <si>
    <t>Ethion</t>
  </si>
  <si>
    <t>Methamidophos</t>
  </si>
  <si>
    <t>Merphos oxide</t>
  </si>
  <si>
    <t>Acephate</t>
  </si>
  <si>
    <t>2,4-Dinitrotoluene</t>
  </si>
  <si>
    <t>Malathion</t>
  </si>
  <si>
    <t>Pirimiphos-methyl</t>
  </si>
  <si>
    <t>Baygon</t>
  </si>
  <si>
    <t>Carbofuran</t>
  </si>
  <si>
    <t xml:space="preserve">Phosmet </t>
  </si>
  <si>
    <t>Danitol</t>
  </si>
  <si>
    <t xml:space="preserve">Benzidine </t>
  </si>
  <si>
    <t>Chlorobenzilate</t>
  </si>
  <si>
    <t>Mepiquat chloride</t>
  </si>
  <si>
    <t>NVS_ENZ_rAChE</t>
  </si>
  <si>
    <t>CCTE_Shafer_MEA_dev_per_network_spike_spike_number_mean</t>
  </si>
  <si>
    <t>CCTE_Shafer_MEA_acute_spike_number</t>
  </si>
  <si>
    <t>CCTE_Shafer_MEA_acute_firing_rate_mean</t>
  </si>
  <si>
    <t>CCTE_Shafer_MEA_acute_synchrony_index</t>
  </si>
  <si>
    <t>CCTE_Shafer_MEA_acute_per_burst_spike_number_mean</t>
  </si>
  <si>
    <t>CCTE_Shafer_MEA_acute_burst_percentage_mean</t>
  </si>
  <si>
    <t>CCTE_Shafer_MEA_acute_per_network_burst_spike_number_mean</t>
  </si>
  <si>
    <t>CCTE_Shafer_MEA_acute_cross_correlation_HWHM</t>
  </si>
  <si>
    <t>CCTE_Shafer_MEA_acute_burst_duration_mean</t>
  </si>
  <si>
    <t>CCTE_Shafer_MEA_acute_cross_correlation_area</t>
  </si>
  <si>
    <t>NVS_GPCR_rSST</t>
  </si>
  <si>
    <t>NVS_GPCR_gOpiateK</t>
  </si>
  <si>
    <t>CCTE_Mundy_HCI_Cortical_NOG_NeuronCount</t>
  </si>
  <si>
    <t>NVS_OR_gSIGMA_NonSelective</t>
  </si>
  <si>
    <t>NVS_TR_rSERT</t>
  </si>
  <si>
    <t>CCTE_Shafer_MEA_dev_bursting_electrodes_number</t>
  </si>
  <si>
    <t>CCTE_Mundy_HCI_Cortical_Synap&amp;Neur_Matur_NeuriteLength</t>
  </si>
  <si>
    <t>CCTE_Mundy_HCI_Cortical_Synap&amp;Neur_Matur_NeuriteSpotCountPerNeuron</t>
  </si>
  <si>
    <t>CCTE_Shafer_MEA_dev_active_electrodes_number</t>
  </si>
  <si>
    <t>NVS_TR_gDAT</t>
  </si>
  <si>
    <t>CCTE_Mundy_HCI_Cortical_Synap&amp;Neur_Matur_NeuronCount</t>
  </si>
  <si>
    <t>CCTE_Shafer_MEA_dev_correlation_coefficient_mean</t>
  </si>
  <si>
    <t>CCTE_Mundy_HCI_Cortical_NOG_BPCount</t>
  </si>
  <si>
    <t>CCTE_Shafer_MEA_dev_LDH</t>
  </si>
  <si>
    <t>CCTE_Shafer_MEA_dev_AB</t>
  </si>
  <si>
    <t>CCTE_Mundy_HCI_Cortical_NOG_NeuriteLength</t>
  </si>
  <si>
    <t>CCTE_Shafer_MEA_dev_network_spike_peak</t>
  </si>
  <si>
    <t>CCTE_Mundy_HCI_Cortical_NOG_NeuriteCount</t>
  </si>
  <si>
    <t>CCTE_Shafer_MEA_acute_per_network_burst_electrodes_number_mean</t>
  </si>
  <si>
    <t>CCTE_Shafer_MEA_dev_spike_duration_mean</t>
  </si>
  <si>
    <t>CCTE_Shafer_MEA_dev_per_burst_spike_percent</t>
  </si>
  <si>
    <t>CCTE_Mundy_HCI_Cortical_Synap&amp;Neur_Matur_BPCount</t>
  </si>
  <si>
    <t>CCTE_Shafer_MEA_dev_mutual_information_norm</t>
  </si>
  <si>
    <t>CCTE_Shafer_MEA_dev_per_network_spike_spike_percent</t>
  </si>
  <si>
    <t>CCTE_Shafer_MEA_dev_firing_rate_mean</t>
  </si>
  <si>
    <t>CCTE_Shafer_MEA_dev_burst_rate</t>
  </si>
  <si>
    <t>CCTE_Mundy_HCI_Cortical_Synap&amp;Neur_Matur_NeuriteCount</t>
  </si>
  <si>
    <t>CCTE_Mundy_HCI_Cortical_Synap&amp;Neur_Matur_SynapseCount</t>
  </si>
  <si>
    <t>CCTE_Shafer_MEA_acute_per_network_burst_spike_number_std</t>
  </si>
  <si>
    <t>CCTE_Shafer_MEA_acute_network_burst_percentage</t>
  </si>
  <si>
    <t>CCTE_Shafer_MEA_dev_per_burst_interspike_interval</t>
  </si>
  <si>
    <t>CCTE_Mundy_HCI_hNP1_Pro_ResponderAvgInten</t>
  </si>
  <si>
    <t>CCTE_Mundy_HCI_hNP1_CellTiter</t>
  </si>
  <si>
    <t>CCTE_Shafer_MEA_dev_network_spike_duration_std</t>
  </si>
  <si>
    <t>CCTE_Mundy_HCI_hNP1_Casp3_7</t>
  </si>
  <si>
    <t>CCTE_Shafer_MEA_dev_interburst_interval_mean</t>
  </si>
  <si>
    <t>CCTE_Shafer_MEA_acute_LDH</t>
  </si>
  <si>
    <t>CCTE_Shafer_MEA_acute_interburst_interval_mean</t>
  </si>
  <si>
    <t>CCTE_Shafer_MEA_acute_burst_percentage_std</t>
  </si>
  <si>
    <t>NVS_ENZ_rMAOAC</t>
  </si>
  <si>
    <t>NVS_ENZ_rMAOBP</t>
  </si>
  <si>
    <t>NVS_TR_rVMAT2</t>
  </si>
  <si>
    <t>CCTE_Shafer_MEA_dev_inter_network_spike_interval_mean</t>
  </si>
  <si>
    <t>CCTE_Shafer_MEA_dev_network_spike_number</t>
  </si>
  <si>
    <t>NVS_GPCR_rH3</t>
  </si>
  <si>
    <t>CCTE_Shafer_MEA_dev_burst_duration_mean</t>
  </si>
  <si>
    <t>NVS_GPCR_hAT1</t>
  </si>
  <si>
    <t>NVS_ENZ_rACFSKBinding</t>
  </si>
  <si>
    <t>NVS_GPCR_bAdoR_NonSelective</t>
  </si>
  <si>
    <t>IUF_NPC5_oligodendrocyte_differentiation_120hr</t>
  </si>
  <si>
    <t>NVS_GPCR_hAdoRA1</t>
  </si>
  <si>
    <t>CCTE_Mundy_HCI_hN2_NOG_NeuronCount</t>
  </si>
  <si>
    <t>CCTE_Mundy_HCI_hN2_NOG_NeuriteLength</t>
  </si>
  <si>
    <t>CCTE_Mundy_HCI_hN2_NOG_NeuriteCount</t>
  </si>
  <si>
    <t>CCTE_Mundy_HCI_hN2_NOG_BPCount</t>
  </si>
  <si>
    <t>IUF_NPC2-5_cytotoxicity_120hr</t>
  </si>
  <si>
    <t>NVS_ENZ_rCNOS</t>
  </si>
  <si>
    <t>NVS_GPCR_rOpiate_NonSelective</t>
  </si>
  <si>
    <t>NVS_TR_rNET</t>
  </si>
  <si>
    <t>NVS_LGIC_rNNR_BungSens</t>
  </si>
  <si>
    <t>NVS_LGIC_hNNR_NBungSens</t>
  </si>
  <si>
    <t>27.2*</t>
  </si>
  <si>
    <t xml:space="preserve">*Cytotox limit is median </t>
  </si>
  <si>
    <t>46.011*</t>
  </si>
  <si>
    <t>Naled</t>
  </si>
  <si>
    <t xml:space="preserve"> 68.224*</t>
  </si>
  <si>
    <t>62.094*</t>
  </si>
  <si>
    <t>62.419*</t>
  </si>
  <si>
    <t>43.661*</t>
  </si>
  <si>
    <t>Cytotox limit</t>
  </si>
  <si>
    <t>Geomean of neurotoxicity</t>
  </si>
  <si>
    <t>Assay results</t>
  </si>
  <si>
    <t xml:space="preserve">Chemical Name </t>
  </si>
  <si>
    <t>CASRN</t>
  </si>
  <si>
    <t xml:space="preserve">Source </t>
  </si>
  <si>
    <r>
      <t>LogKow</t>
    </r>
    <r>
      <rPr>
        <vertAlign val="superscript"/>
        <sz val="11"/>
        <color theme="1"/>
        <rFont val="Times New Roman"/>
        <family val="1"/>
      </rPr>
      <t xml:space="preserve">b </t>
    </r>
  </si>
  <si>
    <t>2,4-Dibromophenol</t>
  </si>
  <si>
    <t>615-58-7</t>
  </si>
  <si>
    <t>9.1 ±1.25</t>
  </si>
  <si>
    <t>Intisiri et al., 2024</t>
  </si>
  <si>
    <t>Galaxolide</t>
  </si>
  <si>
    <t>1222-05-5</t>
  </si>
  <si>
    <t>21 ± 4.3</t>
  </si>
  <si>
    <t>Monoethylhexyl phthalate</t>
  </si>
  <si>
    <t>4376-20-9</t>
  </si>
  <si>
    <t>0.18 ± 0.01</t>
  </si>
  <si>
    <t>3-Chlorobenzoic acid</t>
  </si>
  <si>
    <t>535-80-8</t>
  </si>
  <si>
    <t>3.62 ± 0.54</t>
  </si>
  <si>
    <t>Alprenolol</t>
  </si>
  <si>
    <t>13655-52-2</t>
  </si>
  <si>
    <t>11.2 ± 2.73</t>
  </si>
  <si>
    <t>Ibuprofen</t>
  </si>
  <si>
    <t>15687-27-1</t>
  </si>
  <si>
    <t>3.64 ± 0.5</t>
  </si>
  <si>
    <t>Verapamil</t>
  </si>
  <si>
    <t>52-53-9</t>
  </si>
  <si>
    <t>9.88 ± 1.81</t>
  </si>
  <si>
    <t>Coumachlor</t>
  </si>
  <si>
    <t>81-82-3</t>
  </si>
  <si>
    <t>5.16 ± 0.41</t>
  </si>
  <si>
    <t>2,3,4,5-tetrachlorophenol</t>
  </si>
  <si>
    <t>4901-51-3</t>
  </si>
  <si>
    <t>17.1 ± 4.5</t>
  </si>
  <si>
    <t>2,3,4,6-tetrachlorophenol</t>
  </si>
  <si>
    <t>58-90-2</t>
  </si>
  <si>
    <t>24 ± 9.8</t>
  </si>
  <si>
    <t>Pentachlorophenol</t>
  </si>
  <si>
    <t>87-86-5</t>
  </si>
  <si>
    <t>14.3 ± 3.27</t>
  </si>
  <si>
    <t>Bromoxynil</t>
  </si>
  <si>
    <t>1689-84-5</t>
  </si>
  <si>
    <t>0.18 ± 0.03</t>
  </si>
  <si>
    <t>2,4-Dinitrophenol</t>
  </si>
  <si>
    <t>51-28-5</t>
  </si>
  <si>
    <t>0.07 ± 0.03</t>
  </si>
  <si>
    <t>2,4,6-Tribromophenol</t>
  </si>
  <si>
    <t>118-79-6</t>
  </si>
  <si>
    <t>13.4 ± 3.42</t>
  </si>
  <si>
    <t>2,4-Dichlorophenol</t>
  </si>
  <si>
    <t>120-83-2</t>
  </si>
  <si>
    <t>10.6 ± 1.86</t>
  </si>
  <si>
    <t>3,4,5-Trichlorophenol</t>
  </si>
  <si>
    <t>609-19-8</t>
  </si>
  <si>
    <t>13.5 ± 3.9</t>
  </si>
  <si>
    <t>4-Chlorophenol</t>
  </si>
  <si>
    <t>106-48-9</t>
  </si>
  <si>
    <t>19.5 ± 5.98</t>
  </si>
  <si>
    <t>Pentabromophenol</t>
  </si>
  <si>
    <t>608-71-9</t>
  </si>
  <si>
    <t>7.86 ± 1.2</t>
  </si>
  <si>
    <t>Metoprolol</t>
  </si>
  <si>
    <t>51384-51-1</t>
  </si>
  <si>
    <t>1.71 ± 0.13</t>
  </si>
  <si>
    <t>Lidocaine</t>
  </si>
  <si>
    <t>137-58-6</t>
  </si>
  <si>
    <t>16.5 ± 3.3</t>
  </si>
  <si>
    <t>Propranolol</t>
  </si>
  <si>
    <t>525-66-6</t>
  </si>
  <si>
    <t>6.83 ± 0.99</t>
  </si>
  <si>
    <t>Warfarin</t>
  </si>
  <si>
    <t>81-81-2</t>
  </si>
  <si>
    <t>0.86 ± 0.04</t>
  </si>
  <si>
    <t>Carbamazepine</t>
  </si>
  <si>
    <t>298-46-4</t>
  </si>
  <si>
    <t>10.1 ± 2.01</t>
  </si>
  <si>
    <t>Diethyl phthalate</t>
  </si>
  <si>
    <t>84-66-2</t>
  </si>
  <si>
    <t>23.1 ± 7.2</t>
  </si>
  <si>
    <t>Neutral red</t>
  </si>
  <si>
    <t>553-24-2</t>
  </si>
  <si>
    <t>8.28 ± 1.27</t>
  </si>
  <si>
    <t>Vanillin</t>
  </si>
  <si>
    <t>121-33-5</t>
  </si>
  <si>
    <t>11.7 ± 1.22</t>
  </si>
  <si>
    <t>Rhodamine 6G</t>
  </si>
  <si>
    <t>989-38-8</t>
  </si>
  <si>
    <t>1.7 ± 0.23</t>
  </si>
  <si>
    <t>Fluoxetine</t>
  </si>
  <si>
    <t>54910-89-3</t>
  </si>
  <si>
    <t>11.1 ± 2.49</t>
  </si>
  <si>
    <t>Bisphenol A</t>
  </si>
  <si>
    <t>80-05-7</t>
  </si>
  <si>
    <t>20 ± 4</t>
  </si>
  <si>
    <t>Paraquat dichloride</t>
  </si>
  <si>
    <t>1910-42-5</t>
  </si>
  <si>
    <t>0.31 ± 0.01</t>
  </si>
  <si>
    <t>Agmatine</t>
  </si>
  <si>
    <t>306-60-5</t>
  </si>
  <si>
    <t>0.0033 ± 0.0006</t>
  </si>
  <si>
    <t>Vucicevic et al., 2015</t>
  </si>
  <si>
    <t>-1.13 </t>
  </si>
  <si>
    <t xml:space="preserve">Amiloride </t>
  </si>
  <si>
    <t>2609-46-3</t>
  </si>
  <si>
    <t>Brimonidine</t>
  </si>
  <si>
    <t>59803-98-4</t>
  </si>
  <si>
    <t>1.78 ± 0.11</t>
  </si>
  <si>
    <t>4.81e-8 </t>
  </si>
  <si>
    <t>Bromazepam</t>
  </si>
  <si>
    <t>1812-30-2</t>
  </si>
  <si>
    <t>1.94 ± 0.03</t>
  </si>
  <si>
    <t>Citalopram</t>
  </si>
  <si>
    <t>59729-33-8</t>
  </si>
  <si>
    <t>9.45 ± 0.79</t>
  </si>
  <si>
    <t>Clonazepam</t>
  </si>
  <si>
    <t>1622-61-3</t>
  </si>
  <si>
    <t>3.98 ± 0.88</t>
  </si>
  <si>
    <t>Clozapine</t>
  </si>
  <si>
    <t>5786-21-0</t>
  </si>
  <si>
    <t>8.34 ± 0.86</t>
  </si>
  <si>
    <t>Efaroxan</t>
  </si>
  <si>
    <t>89197-32-0</t>
  </si>
  <si>
    <t>4.92 ± 0.77</t>
  </si>
  <si>
    <t>1.26e-3 </t>
  </si>
  <si>
    <t>6.10E-6 </t>
  </si>
  <si>
    <t>9.89 ± 0.89</t>
  </si>
  <si>
    <t>Guanabenz</t>
  </si>
  <si>
    <t>5051-62-7</t>
  </si>
  <si>
    <t>5.67 ± 0.72</t>
  </si>
  <si>
    <t>Guanfacine</t>
  </si>
  <si>
    <t>29110-47-2</t>
  </si>
  <si>
    <t>5.21 ± 0.78</t>
  </si>
  <si>
    <t>Harmane</t>
  </si>
  <si>
    <t>486-84-0</t>
  </si>
  <si>
    <t>7.48 ± 0.9</t>
  </si>
  <si>
    <t>3.68E-6 </t>
  </si>
  <si>
    <t>Harmine</t>
  </si>
  <si>
    <t>442-51-3</t>
  </si>
  <si>
    <t>7.17 ± 1.29</t>
  </si>
  <si>
    <t>Idazoxan</t>
  </si>
  <si>
    <t>79944-58-4</t>
  </si>
  <si>
    <t>Clonidine</t>
  </si>
  <si>
    <t>4205-90-7</t>
  </si>
  <si>
    <t>3.67 ± 0.36</t>
  </si>
  <si>
    <t>Xylometazoline</t>
  </si>
  <si>
    <t>526-36-3</t>
  </si>
  <si>
    <t>8.88 ± 0.08</t>
  </si>
  <si>
    <t>Lamotrigine</t>
  </si>
  <si>
    <t>84057-84-1</t>
  </si>
  <si>
    <t>Levetiracetam</t>
  </si>
  <si>
    <t>102767-28-2</t>
  </si>
  <si>
    <t>Levomepromazine</t>
  </si>
  <si>
    <t>60-99-1</t>
  </si>
  <si>
    <t>8.38 ± 0.01</t>
  </si>
  <si>
    <t>Lorazepam</t>
  </si>
  <si>
    <t>846-49-1</t>
  </si>
  <si>
    <t>8.35 ± 0.34</t>
  </si>
  <si>
    <t>2.39 </t>
  </si>
  <si>
    <t>Maprotiline</t>
  </si>
  <si>
    <t>10262-69-8</t>
  </si>
  <si>
    <t>5.99 ± 0.62</t>
  </si>
  <si>
    <t>Mianserin</t>
  </si>
  <si>
    <t>24219-97-4</t>
  </si>
  <si>
    <t>9.08 ± 0.11</t>
  </si>
  <si>
    <t>Moxonidine</t>
  </si>
  <si>
    <t>75438-57-2</t>
  </si>
  <si>
    <t>1.86 ± 0.07</t>
  </si>
  <si>
    <t>Naphazoline</t>
  </si>
  <si>
    <t>835-31-4</t>
  </si>
  <si>
    <t>4.31 ± 0.24</t>
  </si>
  <si>
    <t>Oxazepam</t>
  </si>
  <si>
    <t>604-75-1</t>
  </si>
  <si>
    <t>8.23 ± 0.57</t>
  </si>
  <si>
    <t>Oxymetazoline</t>
  </si>
  <si>
    <t>1491-59-4</t>
  </si>
  <si>
    <t>2.02 ± 0.11</t>
  </si>
  <si>
    <t>Olanzapine</t>
  </si>
  <si>
    <t>132539-06-1</t>
  </si>
  <si>
    <t>5.51 ± 0.07</t>
  </si>
  <si>
    <t>Prazepam</t>
  </si>
  <si>
    <t>2955-38-6</t>
  </si>
  <si>
    <t>8.61 ± 0.41</t>
  </si>
  <si>
    <t>Reserpine</t>
  </si>
  <si>
    <t>50-55-5</t>
  </si>
  <si>
    <t>2.75 ± 0.25</t>
  </si>
  <si>
    <t>Rilmenidine</t>
  </si>
  <si>
    <t>54187-04-1</t>
  </si>
  <si>
    <t>7.26 ± 0.68</t>
  </si>
  <si>
    <t>Risperidone</t>
  </si>
  <si>
    <t>106266-06-2</t>
  </si>
  <si>
    <t>3.81 ± 0.12</t>
  </si>
  <si>
    <t>3.53 </t>
  </si>
  <si>
    <t>Sertraline</t>
  </si>
  <si>
    <t>79617-96-2</t>
  </si>
  <si>
    <t>6.66 ± 0.64</t>
  </si>
  <si>
    <t>Tetrahydrozoline</t>
  </si>
  <si>
    <t>84-22-0</t>
  </si>
  <si>
    <t>3.23 ± 0.19</t>
  </si>
  <si>
    <t>Tizanidine</t>
  </si>
  <si>
    <t>51322-75-9</t>
  </si>
  <si>
    <t>3.39 ± 0.17</t>
  </si>
  <si>
    <t>Topiramate</t>
  </si>
  <si>
    <t>97240-79-4</t>
  </si>
  <si>
    <t>0.54 ± 0.11</t>
  </si>
  <si>
    <t>Tramazoline</t>
  </si>
  <si>
    <t>1082-57-1</t>
  </si>
  <si>
    <t>3.92 ± 0.01</t>
  </si>
  <si>
    <t>Venlafaxine</t>
  </si>
  <si>
    <t>93413-69-5</t>
  </si>
  <si>
    <t>13.35 ± 0.93</t>
  </si>
  <si>
    <t>3.12 </t>
  </si>
  <si>
    <t>Viloxazine</t>
  </si>
  <si>
    <t>46817-91-8</t>
  </si>
  <si>
    <t>6.47 ± 0.15</t>
  </si>
  <si>
    <t>Ziprasidone</t>
  </si>
  <si>
    <t>146939-27-7</t>
  </si>
  <si>
    <t>8.27 ± 0.66</t>
  </si>
  <si>
    <t>Alprazolam</t>
  </si>
  <si>
    <t>28981-97-7</t>
  </si>
  <si>
    <t>Di et al., 2003</t>
  </si>
  <si>
    <t>Caffeine</t>
  </si>
  <si>
    <t>58-08-2</t>
  </si>
  <si>
    <t>Chlorpromazine</t>
  </si>
  <si>
    <t>50-53-3</t>
  </si>
  <si>
    <t>Clobazam</t>
  </si>
  <si>
    <t>22316-47-8</t>
  </si>
  <si>
    <t>Desipramine</t>
  </si>
  <si>
    <t>50-47-5</t>
  </si>
  <si>
    <t>Diazepam</t>
  </si>
  <si>
    <t>439-14-5</t>
  </si>
  <si>
    <t>Beta-estradiol</t>
  </si>
  <si>
    <t>50-28-2</t>
  </si>
  <si>
    <t>Imipramine</t>
  </si>
  <si>
    <t>50-49-7</t>
  </si>
  <si>
    <t>Progesterone</t>
  </si>
  <si>
    <t>57-83-0</t>
  </si>
  <si>
    <t>Promazine</t>
  </si>
  <si>
    <t>58-40-2</t>
  </si>
  <si>
    <t>4.68 </t>
  </si>
  <si>
    <t>Testosterone</t>
  </si>
  <si>
    <t>58-22-0</t>
  </si>
  <si>
    <t>Thiopental</t>
  </si>
  <si>
    <t>76-75-5</t>
  </si>
  <si>
    <t>Aldosterone</t>
  </si>
  <si>
    <t>52-39-1</t>
  </si>
  <si>
    <t>Astemizole</t>
  </si>
  <si>
    <t>68844-77-9</t>
  </si>
  <si>
    <t>Atenolol</t>
  </si>
  <si>
    <t>29122-68-7</t>
  </si>
  <si>
    <t>Hydrocortisone</t>
  </si>
  <si>
    <t>50-23-7</t>
  </si>
  <si>
    <t>Dopamine</t>
  </si>
  <si>
    <t>51-61-6</t>
  </si>
  <si>
    <t>Enoxacin</t>
  </si>
  <si>
    <t>74011-58-8</t>
  </si>
  <si>
    <t>Isoxicam</t>
  </si>
  <si>
    <t>34552-84-6</t>
  </si>
  <si>
    <t>Lomefloxacin</t>
  </si>
  <si>
    <t>98079-51-7</t>
  </si>
  <si>
    <t>Corticosterone</t>
  </si>
  <si>
    <t>50-22-6</t>
  </si>
  <si>
    <t>Norfloxacin</t>
  </si>
  <si>
    <t>70458-96-7</t>
  </si>
  <si>
    <t>Ofloxacin</t>
  </si>
  <si>
    <t>82419-36-1</t>
  </si>
  <si>
    <t>Piroxicam</t>
  </si>
  <si>
    <t>36322-90-4</t>
  </si>
  <si>
    <t>Tenoxicam</t>
  </si>
  <si>
    <t>59804-37-4</t>
  </si>
  <si>
    <t>Acetylsalicylic acid</t>
  </si>
  <si>
    <t>50-78-2</t>
  </si>
  <si>
    <t>69.2 ± 1.02</t>
  </si>
  <si>
    <t>Muller et al., 2015</t>
  </si>
  <si>
    <t>1.19 </t>
  </si>
  <si>
    <t>Amitriptyline</t>
  </si>
  <si>
    <t>50-48-6</t>
  </si>
  <si>
    <t>0.169 ± 1.1</t>
  </si>
  <si>
    <t>Bupropion</t>
  </si>
  <si>
    <t>34911-55-2</t>
  </si>
  <si>
    <t>0.891 ± 1.1</t>
  </si>
  <si>
    <t>Buspirone</t>
  </si>
  <si>
    <t>36505-84-7</t>
  </si>
  <si>
    <t>0.195 ± 1.04</t>
  </si>
  <si>
    <t>Diclofenac</t>
  </si>
  <si>
    <t>15307-86-5</t>
  </si>
  <si>
    <t>2.63 ± 1.02</t>
  </si>
  <si>
    <t>Diphenhydramine</t>
  </si>
  <si>
    <t>58-73-1</t>
  </si>
  <si>
    <t>0.165 ± 1.07</t>
  </si>
  <si>
    <t>Fentanyl</t>
  </si>
  <si>
    <t>437-38-7</t>
  </si>
  <si>
    <t>0.371 ± 1.23</t>
  </si>
  <si>
    <t>Hydroxyzine</t>
  </si>
  <si>
    <t>68-88-2</t>
  </si>
  <si>
    <t>0.155 ± 1.04</t>
  </si>
  <si>
    <t>Indomethacin</t>
  </si>
  <si>
    <t>53-86-1</t>
  </si>
  <si>
    <t>1.41 ± 1.04</t>
  </si>
  <si>
    <t>Nortriptyline</t>
  </si>
  <si>
    <t>72-69-5</t>
  </si>
  <si>
    <t>0.166 ± 1.1</t>
  </si>
  <si>
    <t>Phenytoin</t>
  </si>
  <si>
    <t>57-41-0 </t>
  </si>
  <si>
    <t>0.12 ± 1.07</t>
  </si>
  <si>
    <t>Quetiapine</t>
  </si>
  <si>
    <t>111974-69-7</t>
  </si>
  <si>
    <t>0.162 ± 1.07</t>
  </si>
  <si>
    <t>2.15 </t>
  </si>
  <si>
    <t>a: Di et al., 2003 and Vizseralek et al, 2014 only provided avereage values for measured Pe.</t>
  </si>
  <si>
    <r>
      <t xml:space="preserve">Pe (10 </t>
    </r>
    <r>
      <rPr>
        <vertAlign val="superscript"/>
        <sz val="11"/>
        <color theme="1"/>
        <rFont val="Times New Roman"/>
        <family val="1"/>
      </rPr>
      <t>-6</t>
    </r>
    <r>
      <rPr>
        <sz val="11"/>
        <color theme="1"/>
        <rFont val="Times New Roman"/>
        <family val="1"/>
      </rPr>
      <t xml:space="preserve"> cm/s) Average ± S.D. </t>
    </r>
    <r>
      <rPr>
        <vertAlign val="superscript"/>
        <sz val="11"/>
        <color theme="1"/>
        <rFont val="Times New Roman"/>
        <family val="1"/>
      </rPr>
      <t>a</t>
    </r>
  </si>
  <si>
    <t xml:space="preserve">Experimental conditions </t>
  </si>
  <si>
    <t>pH</t>
  </si>
  <si>
    <t>Incubation time (h)</t>
  </si>
  <si>
    <t>Temperature (C)</t>
  </si>
  <si>
    <t>Stir/Shake/None</t>
  </si>
  <si>
    <t>Room temperature</t>
  </si>
  <si>
    <t>None</t>
  </si>
  <si>
    <r>
      <t>0.00083 ± 0</t>
    </r>
    <r>
      <rPr>
        <vertAlign val="superscript"/>
        <sz val="11"/>
        <color theme="1"/>
        <rFont val="Times New Roman"/>
        <family val="1"/>
      </rPr>
      <t>a</t>
    </r>
  </si>
  <si>
    <r>
      <t>5.08 ± 0</t>
    </r>
    <r>
      <rPr>
        <vertAlign val="superscript"/>
        <sz val="11"/>
        <color theme="1"/>
        <rFont val="Times New Roman"/>
        <family val="1"/>
      </rPr>
      <t>a</t>
    </r>
  </si>
  <si>
    <r>
      <t>0.97 ± 0</t>
    </r>
    <r>
      <rPr>
        <vertAlign val="superscript"/>
        <sz val="11"/>
        <color theme="1"/>
        <rFont val="Times New Roman"/>
        <family val="1"/>
      </rPr>
      <t>a</t>
    </r>
  </si>
  <si>
    <r>
      <t>0.06 ± 0</t>
    </r>
    <r>
      <rPr>
        <vertAlign val="superscript"/>
        <sz val="11"/>
        <color theme="1"/>
        <rFont val="Times New Roman"/>
        <family val="1"/>
      </rPr>
      <t>a</t>
    </r>
  </si>
  <si>
    <r>
      <t>5.4 ± 0</t>
    </r>
    <r>
      <rPr>
        <vertAlign val="superscript"/>
        <sz val="11"/>
        <color theme="1"/>
        <rFont val="Times New Roman"/>
        <family val="1"/>
      </rPr>
      <t>a</t>
    </r>
  </si>
  <si>
    <r>
      <t>1.3 ± 0</t>
    </r>
    <r>
      <rPr>
        <vertAlign val="superscript"/>
        <sz val="11"/>
        <color theme="1"/>
        <rFont val="Times New Roman"/>
        <family val="1"/>
      </rPr>
      <t>a</t>
    </r>
  </si>
  <si>
    <r>
      <t>6.5 ± 0</t>
    </r>
    <r>
      <rPr>
        <vertAlign val="superscript"/>
        <sz val="11"/>
        <color theme="1"/>
        <rFont val="Times New Roman"/>
        <family val="1"/>
      </rPr>
      <t>a</t>
    </r>
  </si>
  <si>
    <r>
      <t>17 ± 0</t>
    </r>
    <r>
      <rPr>
        <vertAlign val="superscript"/>
        <sz val="11"/>
        <color theme="1"/>
        <rFont val="Times New Roman"/>
        <family val="1"/>
      </rPr>
      <t>a</t>
    </r>
  </si>
  <si>
    <r>
      <t>12 ± 0</t>
    </r>
    <r>
      <rPr>
        <vertAlign val="superscript"/>
        <sz val="11"/>
        <color theme="1"/>
        <rFont val="Times New Roman"/>
        <family val="1"/>
      </rPr>
      <t>a</t>
    </r>
  </si>
  <si>
    <r>
      <t>16 ± 0</t>
    </r>
    <r>
      <rPr>
        <vertAlign val="superscript"/>
        <sz val="11"/>
        <color theme="1"/>
        <rFont val="Times New Roman"/>
        <family val="1"/>
      </rPr>
      <t>a</t>
    </r>
  </si>
  <si>
    <r>
      <t>13 ± 0</t>
    </r>
    <r>
      <rPr>
        <vertAlign val="superscript"/>
        <sz val="11"/>
        <color theme="1"/>
        <rFont val="Times New Roman"/>
        <family val="1"/>
      </rPr>
      <t>a</t>
    </r>
  </si>
  <si>
    <r>
      <t>9.3 ± 0</t>
    </r>
    <r>
      <rPr>
        <vertAlign val="superscript"/>
        <sz val="11"/>
        <color theme="1"/>
        <rFont val="Times New Roman"/>
        <family val="1"/>
      </rPr>
      <t>a</t>
    </r>
  </si>
  <si>
    <r>
      <t>8.8 ± 0</t>
    </r>
    <r>
      <rPr>
        <vertAlign val="superscript"/>
        <sz val="11"/>
        <color theme="1"/>
        <rFont val="Times New Roman"/>
        <family val="1"/>
      </rPr>
      <t>a</t>
    </r>
  </si>
  <si>
    <r>
      <t>18 ± 0</t>
    </r>
    <r>
      <rPr>
        <vertAlign val="superscript"/>
        <sz val="11"/>
        <color theme="1"/>
        <rFont val="Times New Roman"/>
        <family val="1"/>
      </rPr>
      <t>a</t>
    </r>
  </si>
  <si>
    <r>
      <t>1.2 ± 0</t>
    </r>
    <r>
      <rPr>
        <vertAlign val="superscript"/>
        <sz val="11"/>
        <color theme="1"/>
        <rFont val="Times New Roman"/>
        <family val="1"/>
      </rPr>
      <t>a</t>
    </r>
  </si>
  <si>
    <r>
      <t>11 ± 0</t>
    </r>
    <r>
      <rPr>
        <vertAlign val="superscript"/>
        <sz val="11"/>
        <color theme="1"/>
        <rFont val="Times New Roman"/>
        <family val="1"/>
      </rPr>
      <t>a</t>
    </r>
  </si>
  <si>
    <r>
      <t>0.8 ± 0</t>
    </r>
    <r>
      <rPr>
        <vertAlign val="superscript"/>
        <sz val="11"/>
        <color theme="1"/>
        <rFont val="Times New Roman"/>
        <family val="1"/>
      </rPr>
      <t>a</t>
    </r>
  </si>
  <si>
    <r>
      <t>1.9 ± 0</t>
    </r>
    <r>
      <rPr>
        <vertAlign val="superscript"/>
        <sz val="11"/>
        <color theme="1"/>
        <rFont val="Times New Roman"/>
        <family val="1"/>
      </rPr>
      <t>a</t>
    </r>
  </si>
  <si>
    <r>
      <t>0.2 ± 0</t>
    </r>
    <r>
      <rPr>
        <vertAlign val="superscript"/>
        <sz val="11"/>
        <color theme="1"/>
        <rFont val="Times New Roman"/>
        <family val="1"/>
      </rPr>
      <t>a</t>
    </r>
  </si>
  <si>
    <r>
      <t>0.9 ± 0</t>
    </r>
    <r>
      <rPr>
        <vertAlign val="superscript"/>
        <sz val="11"/>
        <color theme="1"/>
        <rFont val="Times New Roman"/>
        <family val="1"/>
      </rPr>
      <t>a</t>
    </r>
  </si>
  <si>
    <r>
      <t>0.3 ± 0</t>
    </r>
    <r>
      <rPr>
        <vertAlign val="superscript"/>
        <sz val="11"/>
        <color theme="1"/>
        <rFont val="Times New Roman"/>
        <family val="1"/>
      </rPr>
      <t>a</t>
    </r>
  </si>
  <si>
    <r>
      <t>1.1 ± 0</t>
    </r>
    <r>
      <rPr>
        <vertAlign val="superscript"/>
        <sz val="11"/>
        <color theme="1"/>
        <rFont val="Times New Roman"/>
        <family val="1"/>
      </rPr>
      <t>a</t>
    </r>
  </si>
  <si>
    <r>
      <t>5.1 ± 0</t>
    </r>
    <r>
      <rPr>
        <vertAlign val="superscript"/>
        <sz val="11"/>
        <color theme="1"/>
        <rFont val="Times New Roman"/>
        <family val="1"/>
      </rPr>
      <t>a</t>
    </r>
  </si>
  <si>
    <r>
      <t>0.1 ± 0</t>
    </r>
    <r>
      <rPr>
        <vertAlign val="superscript"/>
        <sz val="11"/>
        <color theme="1"/>
        <rFont val="Times New Roman"/>
        <family val="1"/>
      </rPr>
      <t>a</t>
    </r>
  </si>
  <si>
    <r>
      <t>2.5 ± 0</t>
    </r>
    <r>
      <rPr>
        <vertAlign val="superscript"/>
        <sz val="11"/>
        <color theme="1"/>
        <rFont val="Times New Roman"/>
        <family val="1"/>
      </rPr>
      <t>a</t>
    </r>
  </si>
  <si>
    <t xml:space="preserve">Shaken </t>
  </si>
  <si>
    <t>Table S1. Model training chemicals and experimental conditions</t>
  </si>
  <si>
    <t xml:space="preserve">Assay Type </t>
  </si>
  <si>
    <t xml:space="preserve">Description </t>
  </si>
  <si>
    <t>CCTE_Mundy_HCI_Cortical_NOG_BPCount is one of four components of the CCTE_Mundy_HCI_Cortical_NOG assay.  It measures neurite outgrowth related to the number of branch points using HCS Fluorescent Imaging.</t>
  </si>
  <si>
    <t>CCTE_Mundy_HCI_Cortical_NOG_NeuriteCount is one of four components of the CCTE_Mundy_HCI_Cortical_NOG assay.  It measures neurite outgrowth related to the number of neurites  using HCS Fluorescent Imaging.</t>
  </si>
  <si>
    <t>CCTE_Mundy_HCI_Cortical_NOG_NeuriteLength is one of four components of the CCTE_Mundy_HCI_Cortical_NOG assay.  It measures neurite outgrowth related to the neurite length using HCS Fluorescent Imaging.</t>
  </si>
  <si>
    <t>CCTE_Mundy_HCI_Cortical_NOG_NeuronCount is one of four components of the CCTE_Mundy_HCI_Cortical_NOG assay.  It measures cell viability related to the number of neurons using HCS Fluorescent Imaging.</t>
  </si>
  <si>
    <t>CCTE_Mundy_HCI_Cortical_Synap&amp;Neur_Matur_BPCount is one of eight components of the CCTE_Mundy_HCI_Cortical_Synap&amp;Neurite_Matur assay. It measures synaptogenesis and neurite maturation related to number of branch points using HCS Fluorescent Imaging.</t>
  </si>
  <si>
    <t>CCTE_Mundy_HCI_Cortical_Synap&amp;Neur_Matur_NeuriteCount is one of eight components of the CCTE_Mundy_HCI_Cortical_Synap&amp;Neurite_Matur assay. It measures synaptogenesis and neurite maturation related to number of neurites  using HCS Fluorescent Imaging.</t>
  </si>
  <si>
    <t>CCTE_Mundy_HCI_Cortical_Synap&amp;Neur_Matur_NeuriteLength is one of eight components of the CCTE_Mundy_HCI_Cortical_Synap&amp;Neurite_Matur assay. It measures synaptogenesis and neurite maturation related to neurite length using HCS Fluorescent Imaging.</t>
  </si>
  <si>
    <t>CCTE_Mundy_HCI_Cortical_Synap&amp;Neur_Matur_NeuriteSpotCountPerNeuron is one of eight components of the CCTE_Mundy_HCI_Cortical_Synap&amp;Neurite_Matur assay. It measures synaptogenesis and neurite maturation related to number of neurite-associated synapses (synaptophysin puncta) per neuron using HCS Fluorescent Imaging.</t>
  </si>
  <si>
    <t>CCTE_Mundy_HCI_Cortical_Synap&amp;Neur_Matur_NeuronCount is one of eight components of the CCTE_Mundy_HCI_Cortical_Synap&amp;Neurite_Matur assay. It measures cell viability related to number of neurons using HCS Fluorescent Imaging.</t>
  </si>
  <si>
    <t>CCTE_Mundy_HCI_Cortical_Synap&amp;Neur_Matur_SynapseCount is one of eight components of the CCTE_Mundy_HCI_Cortical_Synap&amp;Neurite_Matur assay. It measures synaptogenesis and neurite maturation related to number of synpases per neuron using HCS Fluorescent Imaging.</t>
  </si>
  <si>
    <t>CCTE_Mundy_HCI_hN2_NOG_BPCount is one of four components of the CCTE_Mundy_HCI_hN2_NOG assay. It measures neurite outgrowth related to number of branch points using HCS Fluorescent Imaging.</t>
  </si>
  <si>
    <t>CCTE_Mundy_HCI_hN2_NOG_NeuriteCount is one of four components of the CCTE_Mundy_HCI_hN2_NOG assay. It measures neurite outgrowth related to number of neurites  using HCS Fluorescent Imaging.</t>
  </si>
  <si>
    <t>CCTE_Mundy_HCI_hN2_NOG_NeuriteLength is one of four components of the CCTE_Mundy_HCI_hN2_NOG assay. It measures neurite outgrowth related to neurite length using HCS Fluorescent Imaging.</t>
  </si>
  <si>
    <t>CCTE_Mundy_HCI_hN2_NOG_NeuronCount is one of four components of the CCTE_Mundy_HCI_hN2_NOG assay. It measures cell viability related to number of neurons using HCS Fluorescent Imaging.</t>
  </si>
  <si>
    <t>CCTE_Mundy_HCI_hNP1_Casp3_7 is a multiplexed, cell-based-readout assay that uses neural stem cells derived from a neuroepithelial cell lineage of WA09 embryonic cells with measurements taken at 26.5 hours after chemical dosing in a microplate: 96-well plate.</t>
  </si>
  <si>
    <t>CCTE_Mundy_HCI_hNP1_CellTiter is a multiplexed, cell-based-readout assay that uses neural stem cells derived from a neuroepithelial cell lineage of WA09 embryonic cells with measurements taken at 26.5 hours after chemical dosing in a microplate: 96-well plate.</t>
  </si>
  <si>
    <t>CCTE_Mundy_HCI_hNP1_Pro_ResponderAvgInten is one of three components of the CCTE_Mundy_HCI_hNP1_Pro assay. It measures proliferation related to percentage of BrdU positive cells using HCS Fluorescent Imaging.</t>
  </si>
  <si>
    <t>CCTE_Shafer_MEA_acute_burst_duration_mean is a component of the CCTE_Shafer_MEA_acute assay. It measures the average time from the first spike (action potential firing) to the last spike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burst duration in each well.</t>
  </si>
  <si>
    <t>CCTE_Shafer_MEA_acute_burst_percentage_mean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average of the burst percentages across electrodes is calculated to report a well-level value. The recordings before and after chemical treatment are used to calculate a percent change in the mean burst percentage in each well.</t>
  </si>
  <si>
    <t>CCTE_Shafer_MEA_acute_burst_percentage_std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standard deviation of the burst percentages across electrodes is calculated to report a well-level value. The recordings before and after chemical treatment are used to calculate a percent change in the standard deviation of the burst percentage in each well.</t>
  </si>
  <si>
    <t>CCTE_Shafer_MEA_acute_cross_correlation_area is a component of the CCTE_Shafer_MEA_acute assay. It measures the area under the well-wide pooled inter-electrode cross-correlation of action potential firing (not normalized to auto-correlations) within a window centered around 0 for the phase lag during a recording in a microelectrode array (MEA) using Axion Biosystems Maestro 768 channel amplifier with the AxIS adaptive spike detector. The recordings before and after chemical treatment are used to calculate a percent change in the cross correlation area in each well.</t>
  </si>
  <si>
    <t>CCTE_Shafer_MEA_acute_cross_correlation_HWHM is a component of the CCTE_Shafer_MEA_acute assay. It measures the distance along the x-axis (phase lag) from the left half maximum height to the center of the cross-correlogram of action potential firing during a recording in a microelectrode array (MEA) using Axion Biosystems Maestro 768 channel amplifier with the AxIS adaptive spike detector. Smaller values indicate a narrower correlogram (greater synchrony). The recordings before and after chemical treatment are used to calculate a percent change in the half width at half maximum of the cross-correlogram in each well.</t>
  </si>
  <si>
    <t>CCTE_Shafer_MEA_acute_firing_rate_mean is a component of the CCTE_Shafer_MEA_acute assay. It measures the frequency number of spikes (action potential firings) as the total number of spikes divided by the length of the recording in a microelectrode array (MEA) using Axion Biosystems Maestro 768 channel amplifier with the AxIS adaptive spike detector. The firing rate is divided by the number of electrodes to report a well-mean value. The recordings before and after chemical treatment are used to calculate a percent change in the mean firing rate in each well.</t>
  </si>
  <si>
    <t>CCTE_Shafer_MEA_acute_interburst_interval_mean is a component of the CCTE_Shafer_MEA_acute assay. It measures the average time between the start of consecutive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mean inter-burst interval in each well.</t>
  </si>
  <si>
    <t>CCTE_Shafer_MEA_acute_LDH is a component of the CCTE_Shafer_MEA_acute assay. It measures the lactate dehydrogenase enzyme activity using spectrophotometry.</t>
  </si>
  <si>
    <t>CCTE_Shafer_MEA_acute_network_burst_percentage is a component of the CCTE_Shafer_MEA_acute assay. It measures the percent of spikes (action potential firings) in network bursts (temporally-clustered groups of spikes across multiple electrodes) as the number of spikes occuring in network bursts divided by the total number of spikes during a recording in a microelectrode array (MEA) using Axion Biosystems Maestro 768 channel amplifier with the AxIS adaptive spike detector. The recordings before and after chemical treatment are used to calculate a percent change in the network burst percentage in each well.</t>
  </si>
  <si>
    <t>CCTE_Shafer_MEA_acute_per_burst_spike_number_mean is a component of the CCTE_Shafer_MEA_acute assay. It measures the average number of spikes (action potential firings)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number of spikes per burst in each well.</t>
  </si>
  <si>
    <t>CCTE_Shafer_MEA_acute_per_network_burst_electrodes_number_mean is a component of the CCTE_Shafer_MEA_acute assay. It measures the average number of electrodes with activity during a network burst (a temporally-clustered group of action potential firing across multiple electrodes) in a recording in a microelectrode array (MEA) using Axion Biosystems Maestro 768 channel amplifier with the AxIS adaptive spike detector. The recordings before and after chemical treatment are used to calculate a percent change in the mean number of electrodes participating in network bursts in each well.</t>
  </si>
  <si>
    <t>CCTE_Shafer_MEA_acute_per_network_burst_spike_number_mean is a component of the CCTE_Shafer_MEA_acute assay. It measures the average number of spikes (action potential firings) in a network burst (temporally-clustered group of spikes across multiple electrodes) as the total number of spikes in a network burst divided by the number of network bursts during a recording in a microelectrode array (MEA) using Axion Biosystems Maestro 768 channel amplifier with the AxIS adaptive spike detector. The recordings before and after chemical treatment are used to calculate a percent change in the mean number of spikes in a network burst in each well.</t>
  </si>
  <si>
    <t>CCTE_Shafer_MEA_acute_per_network_burst_spike_number_std is a component of the CCTE_Shafer_MEA_acute assay. It measures the standard deviation of the number of spikes (action potential firings) in a network burst (temporally-clustered group of spikes across multiple electrodes) during a recording in a microelectrode array (MEA) using Axion Biosystems Maestro 768 channel amplifier with the AxIS adaptive spike detector. The recordings before and after chemical treatment are used to calculate a percent change in the standard deviation of the number of spikes in network bursts in each well.</t>
  </si>
  <si>
    <t xml:space="preserve">CCTE_Shafer_MEA_acute_spike_number is a component of the CCTE_Shafer_MEA_acute assay. It measures the total number of spikes (action potential firings) in a 40-minute recording in a microelectrode array (MEA) using Axion Biosystems Maestro 768 channel amplifier with the AxIS adaptive spike detector. The recordings before and after chemical treatment are used to calculate a percent change in the spike number in each well. </t>
  </si>
  <si>
    <t>CCTE_Shafer_MEA_acute_synchrony_index is a component of the CCTE_Shafer_MEA_acute assay. It measures the synchrony of the neural network as a unitless measure between 0 (low synchrony) to 1 (high synchrony) during a recording in a microelectrode array (MEA) using Axion Biosystems Maestro 768 channel amplifier with the AxIS adaptive spike detector. The recordings before and after chemical treatment are used to calculate a percent change in the synchrony index in each well.</t>
  </si>
  <si>
    <t>CCTE_Shafer_MEA_dev_AB is 1 of 19 assay components of the CCTE_Shafer_MEA_dev assay. It measures the resazurin reduction using fluorescence.</t>
  </si>
  <si>
    <t>CCTE_Shafer_MEA_dev_active_electrodes_number is 1 of 19 assay components of the CCTE_Shafer_MEA_dev assay. It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</si>
  <si>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CCTE_Shafer_MEA_dev_burst_duration_mean is 1 of 19 assay components of the CCTE_Shafer_MEA_dev assay. It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</si>
  <si>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CCTE_Shafer_MEA_dev_burst_rate is 1 of 19 assay components of the CCTE_Shafer_MEA_dev assay. It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</si>
  <si>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CCTE_Shafer_MEA_dev_bursting_electrodes_number is 1 of 19 assay components of the CCTE_Shafer_MEA_dev assay. It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</si>
  <si>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CCTE_Shafer_MEA_dev_correlation_coefficient_mean is 1 of 19 assay components of the CCTE_Shafer_MEA_dev assay. It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</si>
  <si>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CCTE_Shafer_MEA_dev_firing_rate_mean is 1 of 19 assay components of the CCTE_Shafer_MEA_dev assay. It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t>
  </si>
  <si>
    <t>CCTE_Shafer_MEA_dev_inter_network_spike_interval_mean is 1 of 19 assay components of the CCTE_Shafer_MEA_dev assay. It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</si>
  <si>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CCTE_Shafer_MEA_dev_interburst_interval_mean is 1 of 19 assay components of the CCTE_Shafer_MEA_dev assay. It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</si>
  <si>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CCTE_Shafer_MEA_dev_LDH is 1 of 19 assay components of the CCTE_Shafer_MEA_dev assay. It measures the lactate dehydrogenase enzyme activity using spectrophotometry.</t>
  </si>
  <si>
    <t>CCTE_Shafer_MEA_dev_mutual_information_norm is 1 of 19 assay components of the CCTE_Shafer_MEA_dev assay. It is a measure of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</si>
  <si>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CCTE_Shafer_MEA_dev_network_spike_duration_std is 1 of 19 assay components of the CCTE_Shafer_MEA_dev assay. It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</si>
  <si>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CCTE_Shafer_MEA_dev_network_spike_number is 1 of 19 assay components of the CCTE_Shafer_MEA_dev assay. It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</si>
  <si>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CCTE_Shafer_MEA_dev_network_spike_peak is 1 of 19 assay components of the CCTE_Shafer_MEA_dev assay. It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</si>
  <si>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CCTE_Shafer_MEA_dev_per_burst_interspike_interval is 1 of 19 assay components of the CCTE_Shafer_MEA_dev assay. It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</si>
  <si>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CCTE_Shafer_MEA_dev_per_burst_spike_percent is 1 of 19 assay components of the CCTE_Shafer_MEA_dev assay. It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</si>
  <si>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CCTE_Shafer_MEA_dev_per_network_spike_spike_number_mean is 1 of 19 assay components of the CCTE_Shafer_MEA_dev assay. It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</si>
  <si>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CCTE_Shafer_MEA_dev_per_network_spike_spike_percent is 1 of 19 assay components of the CCTE_Shafer_MEA_dev assay. It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</si>
  <si>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CCTE_Shafer_MEA_dev_spike_duration_mean is 1 of 19 assay components of the CCTE_Shafer_MEA_dev assay. It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</si>
  <si>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IUF_NPC2-5_cytotoxicity_120hr is one of 12 assay components measured from the IUF_NPC2-5 assay. It is designed to measure cytotoxicity at 120hr due to loss of membrane integrity. LDH measurements are performed from medium supernatants of each well and are based on the reduction of resazurin to resorufin measured as fluorescence signal (relative fluorescence unit) in a multiplate reader. </t>
  </si>
  <si>
    <t>IUF_NPC2b_oligodendrocyte_migration_120hr is one of 12 assay components measured from the IUF_NPC2-5 assay. Oligodendrocyte migration distance at 120 hr is the mean distance of all oligodendrocytes from the edge of the sphere core to each individual oligodendrocyte (see IUF_NPC5_oligodendrocyte_differentiation_120hr). Oligodendrocyte migration is normalized to radial glia migration distance at 120 hr.</t>
  </si>
  <si>
    <t>NVS_ENZ_rACFSKBinding is one of one assay component(s) measured or calculated from the NVS_ENZ_rACFSKBinding assay. It is designed to make measurements of enzyme activity, a form of enzyme reporter, as detected with scintillation counting signals by Filter-based radiodetection technology.</t>
  </si>
  <si>
    <t>NVS_ENZ_rAChE is one of one assay component(s) measured or calculated from the NVS_ENZ_rAChE assay. It is designed to make measurements of enzyme activity, a form of enzyme reporter, as detected with absorbance signals by Colorimetric technology.</t>
  </si>
  <si>
    <t>NVS_ENZ_rCNOS is one of one assay component(s) measured or calculated from the NVS_ENZ_rCNOS assay. It is designed to make measurements of enzyme activity, a form of enzyme reporter, as detected with scintillation counting signals by Filter-based radiodetection technology.</t>
  </si>
  <si>
    <t>NVS_ENZ_rMAOAC is one of one assay component(s) measured or calculated from the NVS_ENZ_rMAOAC assay. It is designed to make measurements of enzyme activity, a form of enzyme reporter, as detected with scintillation counting signals by Lysate-based radiodetection technology.</t>
  </si>
  <si>
    <t>NVS_ENZ_rMAOBP is one of one assay component(s) measured or calculated from the NVS_ENZ_rMAOBP assay. It is designed to make measurements of enzyme activity, a form of enzyme reporter, as detected with scintillation counting signals by Lysate-based radiodetection technology.</t>
  </si>
  <si>
    <t>NVS_GPCR_bAdoR_NonSelective is one of one assay component(s) measured or calculated from the NVS_GPCR_bAdoR_NonSelective assay. It is designed to make measurements of radioligand binding, a form of binding reporter, as detected with scintillation counting signals by Filter-based radiodetection technology.</t>
  </si>
  <si>
    <t>NVS_GPCR_gOpiateK is one of one assay component(s) measured or calculated from the NVS_GPCR_gOpiateK assay. It is designed to make measurements of radioligand binding, a form of binding reporter, as detected with scintillation counting signals by Filter-based radiodetection technology.</t>
  </si>
  <si>
    <t>NVS_GPCR_hAdoRA1 is one of one assay component(s) measured or calculated from the NVS_GPCR_hAdoRA1 assay. It is designed to make measurements of radioligand binding, a form of binding reporter, as detected with scintillation counting signals by Filter-based radiodetection technology.</t>
  </si>
  <si>
    <t>NVS_GPCR_hAT1 is one of one assay component(s) measured or calculated from the NVS_GPCR_hAT1 assay. It is designed to make measurements of radioligand binding, a form of binding reporter, as detected with scintillation counting signals by Filter-based radiodetection technology.</t>
  </si>
  <si>
    <t>NVS_GPCR_rH3 is one of one assay component(s) measured or calculated from the NVS_GPCR_rH3 assay. It is designed to make measurements of radioligand binding, a form of binding reporter, as detected with scintillation counting signals by Filter-based radiodetection technology.</t>
  </si>
  <si>
    <t>NVS_GPCR_rOpiate_NonSelective is one of one assay component(s) measured or calculated from the NVS_GPCR_rOpiate_NonSelective assay. It is designed to make measurements of radioligand binding, a form of binding reporter, as detected with scintillation counting signals by Filter-based radiodetection technology.</t>
  </si>
  <si>
    <t>NVS_GPCR_rSST is one of one assay component(s) measured or calculated from the NVS_GPCR_rSST assay. It is designed to make measurements of radioligand binding, a form of binding reporter, as detected with scintillation counting signals by Filter-based radiodetection technology.</t>
  </si>
  <si>
    <t>NVS_LGIC_hNNR_NBungSens is one of one assay component(s) measured or calculated from the NVS_LGIC_hNNR_NBungSens assay. It is designed to make measurements of radioligand binding, a form of binding reporter, as detected with scintillation counting signals by Filter-based radiodetection technology.</t>
  </si>
  <si>
    <t>NVS_LGIC_rNNR_BungSens is one of one assay component(s) measured or calculated from the NVS_LGIC_rNNR_BungSens assay. It is designed to make measurements of radioligand binding, a form of binding reporter, as detected with scintillation counting signals by Filter-based radiodetection technology.</t>
  </si>
  <si>
    <t>NVS_OR_gSIGMA_NonSelective is one of one assay component(s) measured or calculated from the NVS_OR_gSIGMA_NonSelective assay. It is designed to make measurements of radioligand binding, a form of binding reporter, as detected with scintillation counting signals by Filter-based radiodetection technology.</t>
  </si>
  <si>
    <t>NVS_TR_gDAT is one of one assay component(s) measured or calculated from the NVS_TR_gDAT assay. It is designed to make measurements of radioligand binding, a form of binding reporter, as detected with scintillation counting signals by Filter-based radiodetection technology.</t>
  </si>
  <si>
    <t>NVS_TR_rNET is one of one assay component(s) measured or calculated from the NVS_TR_rNET assay. It is designed to make measurements of radioligand binding, a form of binding reporter, as detected with scintillation counting signals by Filter-based radiodetection technology.</t>
  </si>
  <si>
    <t>NVS_TR_rSERT is one of one assay component(s) measured or calculated from the NVS_TR_rSERT assay. It is designed to make measurements of radioligand binding, a form of binding reporter, as detected with scintillation counting signals by Filter-based radiodetection technology.</t>
  </si>
  <si>
    <t>NVS_TR_rVMAT2 is one of one assay component(s) measured or calculated from the NVS_TR_rVMAT2 assay. It is designed to make measurements of radioligand binding, a form of binding reporter, as detected with scintillation counting signals by Filter-based radiodetection technology.</t>
  </si>
  <si>
    <t>Organism</t>
  </si>
  <si>
    <t>Tissue</t>
  </si>
  <si>
    <t>a: Only avereage values for measured Pe were provided.</t>
  </si>
  <si>
    <t>b: Values originate from EPA Comptox.</t>
  </si>
  <si>
    <r>
      <t>5.08</t>
    </r>
    <r>
      <rPr>
        <vertAlign val="superscript"/>
        <sz val="11"/>
        <color theme="1"/>
        <rFont val="Times New Roman"/>
        <family val="1"/>
      </rPr>
      <t>a</t>
    </r>
  </si>
  <si>
    <r>
      <t>0.00083</t>
    </r>
    <r>
      <rPr>
        <vertAlign val="superscript"/>
        <sz val="11"/>
        <color theme="1"/>
        <rFont val="Times New Roman"/>
        <family val="1"/>
      </rPr>
      <t>a</t>
    </r>
  </si>
  <si>
    <r>
      <t>5.4</t>
    </r>
    <r>
      <rPr>
        <vertAlign val="superscript"/>
        <sz val="11"/>
        <color theme="1"/>
        <rFont val="Times New Roman"/>
        <family val="1"/>
      </rPr>
      <t>a</t>
    </r>
  </si>
  <si>
    <r>
      <t>1.3</t>
    </r>
    <r>
      <rPr>
        <vertAlign val="superscript"/>
        <sz val="11"/>
        <color theme="1"/>
        <rFont val="Times New Roman"/>
        <family val="1"/>
      </rPr>
      <t>a</t>
    </r>
  </si>
  <si>
    <r>
      <t>6.5</t>
    </r>
    <r>
      <rPr>
        <vertAlign val="superscript"/>
        <sz val="11"/>
        <color theme="1"/>
        <rFont val="Times New Roman"/>
        <family val="1"/>
      </rPr>
      <t>a</t>
    </r>
  </si>
  <si>
    <r>
      <t>17</t>
    </r>
    <r>
      <rPr>
        <vertAlign val="superscript"/>
        <sz val="11"/>
        <color theme="1"/>
        <rFont val="Times New Roman"/>
        <family val="1"/>
      </rPr>
      <t>a</t>
    </r>
  </si>
  <si>
    <r>
      <t>12</t>
    </r>
    <r>
      <rPr>
        <vertAlign val="superscript"/>
        <sz val="11"/>
        <color theme="1"/>
        <rFont val="Times New Roman"/>
        <family val="1"/>
      </rPr>
      <t>a</t>
    </r>
  </si>
  <si>
    <r>
      <t>16</t>
    </r>
    <r>
      <rPr>
        <vertAlign val="superscript"/>
        <sz val="11"/>
        <color theme="1"/>
        <rFont val="Times New Roman"/>
        <family val="1"/>
      </rPr>
      <t>a</t>
    </r>
  </si>
  <si>
    <r>
      <t>13</t>
    </r>
    <r>
      <rPr>
        <vertAlign val="superscript"/>
        <sz val="11"/>
        <color theme="1"/>
        <rFont val="Times New Roman"/>
        <family val="1"/>
      </rPr>
      <t>a</t>
    </r>
  </si>
  <si>
    <r>
      <t>8.8</t>
    </r>
    <r>
      <rPr>
        <vertAlign val="superscript"/>
        <sz val="11"/>
        <color theme="1"/>
        <rFont val="Times New Roman"/>
        <family val="1"/>
      </rPr>
      <t>a</t>
    </r>
  </si>
  <si>
    <r>
      <t>9.3</t>
    </r>
    <r>
      <rPr>
        <vertAlign val="superscript"/>
        <sz val="11"/>
        <color theme="1"/>
        <rFont val="Times New Roman"/>
        <family val="1"/>
      </rPr>
      <t>a</t>
    </r>
  </si>
  <si>
    <r>
      <t>18</t>
    </r>
    <r>
      <rPr>
        <vertAlign val="superscript"/>
        <sz val="11"/>
        <color theme="1"/>
        <rFont val="Times New Roman"/>
        <family val="1"/>
      </rPr>
      <t>a</t>
    </r>
  </si>
  <si>
    <r>
      <t>1.2</t>
    </r>
    <r>
      <rPr>
        <vertAlign val="superscript"/>
        <sz val="11"/>
        <color theme="1"/>
        <rFont val="Times New Roman"/>
        <family val="1"/>
      </rPr>
      <t>a</t>
    </r>
  </si>
  <si>
    <r>
      <t>11</t>
    </r>
    <r>
      <rPr>
        <vertAlign val="superscript"/>
        <sz val="11"/>
        <color theme="1"/>
        <rFont val="Times New Roman"/>
        <family val="1"/>
      </rPr>
      <t>a</t>
    </r>
  </si>
  <si>
    <r>
      <t>0.8</t>
    </r>
    <r>
      <rPr>
        <vertAlign val="superscript"/>
        <sz val="11"/>
        <color theme="1"/>
        <rFont val="Times New Roman"/>
        <family val="1"/>
      </rPr>
      <t>a</t>
    </r>
  </si>
  <si>
    <r>
      <t>1.9</t>
    </r>
    <r>
      <rPr>
        <vertAlign val="superscript"/>
        <sz val="11"/>
        <color theme="1"/>
        <rFont val="Times New Roman"/>
        <family val="1"/>
      </rPr>
      <t>a</t>
    </r>
  </si>
  <si>
    <t>4.06E-03 </t>
  </si>
  <si>
    <t>4.15E-07 </t>
  </si>
  <si>
    <t>3.16E-06 </t>
  </si>
  <si>
    <t>8.05E-06 </t>
  </si>
  <si>
    <t>5.42E-07 </t>
  </si>
  <si>
    <t>3.02E-07 </t>
  </si>
  <si>
    <t>3.50E-05 </t>
  </si>
  <si>
    <t>1.85E-05 </t>
  </si>
  <si>
    <t>1.61E-06 </t>
  </si>
  <si>
    <t>7.01E-06 </t>
  </si>
  <si>
    <t>8.59E-08 </t>
  </si>
  <si>
    <t>2.69E-08 </t>
  </si>
  <si>
    <t>2.36E-04 </t>
  </si>
  <si>
    <t>3.49E-07 </t>
  </si>
  <si>
    <t>1.40E-05 </t>
  </si>
  <si>
    <t>9.06E-05 </t>
  </si>
  <si>
    <t>1.42E-09 </t>
  </si>
  <si>
    <t>9.64E-09 </t>
  </si>
  <si>
    <t>2.34E-02 </t>
  </si>
  <si>
    <t>7.53E-05 </t>
  </si>
  <si>
    <t>2.52E-05 </t>
  </si>
  <si>
    <t>5.58E-05 </t>
  </si>
  <si>
    <t>1.33E-04 </t>
  </si>
  <si>
    <r>
      <t>0.2</t>
    </r>
    <r>
      <rPr>
        <vertAlign val="superscript"/>
        <sz val="11"/>
        <color theme="1"/>
        <rFont val="Times New Roman"/>
        <family val="1"/>
      </rPr>
      <t>a</t>
    </r>
  </si>
  <si>
    <r>
      <t>0.9</t>
    </r>
    <r>
      <rPr>
        <vertAlign val="superscript"/>
        <sz val="11"/>
        <color theme="1"/>
        <rFont val="Times New Roman"/>
        <family val="1"/>
      </rPr>
      <t>a</t>
    </r>
  </si>
  <si>
    <r>
      <t>0.3</t>
    </r>
    <r>
      <rPr>
        <vertAlign val="superscript"/>
        <sz val="11"/>
        <color theme="1"/>
        <rFont val="Times New Roman"/>
        <family val="1"/>
      </rPr>
      <t>a</t>
    </r>
  </si>
  <si>
    <r>
      <t>1.1</t>
    </r>
    <r>
      <rPr>
        <vertAlign val="superscript"/>
        <sz val="11"/>
        <color theme="1"/>
        <rFont val="Times New Roman"/>
        <family val="1"/>
      </rPr>
      <t>a</t>
    </r>
  </si>
  <si>
    <r>
      <t>5.1</t>
    </r>
    <r>
      <rPr>
        <vertAlign val="superscript"/>
        <sz val="11"/>
        <color theme="1"/>
        <rFont val="Times New Roman"/>
        <family val="1"/>
      </rPr>
      <t>a</t>
    </r>
  </si>
  <si>
    <r>
      <t>0.1</t>
    </r>
    <r>
      <rPr>
        <vertAlign val="superscript"/>
        <sz val="11"/>
        <color theme="1"/>
        <rFont val="Times New Roman"/>
        <family val="1"/>
      </rPr>
      <t>a</t>
    </r>
  </si>
  <si>
    <r>
      <t>2.5</t>
    </r>
    <r>
      <rPr>
        <vertAlign val="superscript"/>
        <sz val="11"/>
        <color theme="1"/>
        <rFont val="Times New Roman"/>
        <family val="1"/>
      </rPr>
      <t>a</t>
    </r>
  </si>
  <si>
    <t>Rat</t>
  </si>
  <si>
    <t>Cortical</t>
  </si>
  <si>
    <t>Human</t>
  </si>
  <si>
    <t>Neural</t>
  </si>
  <si>
    <t>Brain</t>
  </si>
  <si>
    <t>Bovine</t>
  </si>
  <si>
    <t>Guinea pig</t>
  </si>
  <si>
    <t>Chemicals</t>
  </si>
  <si>
    <t>ToxCast and Pe ranking</t>
  </si>
  <si>
    <t xml:space="preserve">Naled </t>
  </si>
  <si>
    <t>IRIS POD 
(mg/kg/day)</t>
  </si>
  <si>
    <r>
      <t>IRIS (</t>
    </r>
    <r>
      <rPr>
        <i/>
        <sz val="11"/>
        <color theme="1"/>
        <rFont val="Times New Roman"/>
        <family val="1"/>
      </rPr>
      <t xml:space="preserve">in vivo) 
</t>
    </r>
    <r>
      <rPr>
        <sz val="11"/>
        <color theme="1"/>
        <rFont val="Times New Roman"/>
        <family val="1"/>
      </rPr>
      <t>ranking</t>
    </r>
  </si>
  <si>
    <t>ToxCast AC50 (µM)</t>
  </si>
  <si>
    <r>
      <t>ToxCast (</t>
    </r>
    <r>
      <rPr>
        <i/>
        <sz val="11"/>
        <color theme="1"/>
        <rFont val="Times New Roman"/>
        <family val="1"/>
      </rPr>
      <t>in vitro</t>
    </r>
    <r>
      <rPr>
        <sz val="11"/>
        <color theme="1"/>
        <rFont val="Times New Roman"/>
        <family val="1"/>
      </rPr>
      <t>) ranking</t>
    </r>
  </si>
  <si>
    <r>
      <t>Predicted Pe 10</t>
    </r>
    <r>
      <rPr>
        <vertAlign val="superscript"/>
        <sz val="11"/>
        <color theme="1"/>
        <rFont val="Times New Roman"/>
        <family val="1"/>
      </rPr>
      <t>-6</t>
    </r>
    <r>
      <rPr>
        <sz val="11"/>
        <color theme="1"/>
        <rFont val="Times New Roman"/>
        <family val="1"/>
      </rPr>
      <t xml:space="preserve"> (cm/s)</t>
    </r>
  </si>
  <si>
    <t>Permeability ranking</t>
  </si>
  <si>
    <t>Table S6. Rankings of in vivo neurotoxicity, in vitro neurotoxicity, and permeabilty values</t>
  </si>
  <si>
    <t>Table S5. ToxCast neurotoxic assay descriptions</t>
  </si>
  <si>
    <t xml:space="preserve">Table S4. ToxCast neurotoxic assay summaries </t>
  </si>
  <si>
    <t xml:space="preserve">Table S3. Prediction set chemicals predicted permeability with physiochemical properties </t>
  </si>
  <si>
    <t xml:space="preserve">Table S2. Training set chemicals predicted and measured permeability with physiochemical properties </t>
  </si>
  <si>
    <t>a: Values originate from EPA Comptox.</t>
  </si>
  <si>
    <t>116-06-3</t>
  </si>
  <si>
    <t>2104-64-5</t>
  </si>
  <si>
    <t>72-20-8</t>
  </si>
  <si>
    <t>22224-92-6</t>
  </si>
  <si>
    <t>298-00-0</t>
  </si>
  <si>
    <t>298-04-4</t>
  </si>
  <si>
    <t>62-73-7</t>
  </si>
  <si>
    <t>60-51-5</t>
  </si>
  <si>
    <t>10265-92-6</t>
  </si>
  <si>
    <t>563-12-2</t>
  </si>
  <si>
    <t>78-48-8</t>
  </si>
  <si>
    <t>30560-19-1</t>
  </si>
  <si>
    <t>121-14-2</t>
  </si>
  <si>
    <t>300-76-5</t>
  </si>
  <si>
    <t>121-75-5</t>
  </si>
  <si>
    <t>29232-93-7</t>
  </si>
  <si>
    <t>114-26-1</t>
  </si>
  <si>
    <t>1563-66-2</t>
  </si>
  <si>
    <t>732-11-6</t>
  </si>
  <si>
    <t>39515-41-8</t>
  </si>
  <si>
    <t>92-87-5</t>
  </si>
  <si>
    <t>510-15-6</t>
  </si>
  <si>
    <t>24307-26-4</t>
  </si>
  <si>
    <t>5.27E-2 </t>
  </si>
  <si>
    <r>
      <t>Water Solubility</t>
    </r>
    <r>
      <rPr>
        <vertAlign val="superscript"/>
        <sz val="11"/>
        <color theme="1"/>
        <rFont val="Times New Roman"/>
        <family val="1"/>
      </rPr>
      <t>b</t>
    </r>
    <r>
      <rPr>
        <sz val="11"/>
        <color theme="1"/>
        <rFont val="Times New Roman"/>
        <family val="1"/>
      </rPr>
      <t xml:space="preserve"> (mol/L)</t>
    </r>
  </si>
  <si>
    <r>
      <t>Predicted Pe (10</t>
    </r>
    <r>
      <rPr>
        <vertAlign val="superscript"/>
        <sz val="11"/>
        <color theme="1"/>
        <rFont val="Times New Roman"/>
        <family val="1"/>
      </rPr>
      <t>-6</t>
    </r>
    <r>
      <rPr>
        <sz val="11"/>
        <color theme="1"/>
        <rFont val="Times New Roman"/>
        <family val="1"/>
      </rPr>
      <t xml:space="preserve"> cm/s)</t>
    </r>
  </si>
  <si>
    <r>
      <t>Measured Pe (10</t>
    </r>
    <r>
      <rPr>
        <vertAlign val="superscript"/>
        <sz val="11"/>
        <color theme="1"/>
        <rFont val="Times New Roman"/>
        <family val="1"/>
      </rPr>
      <t>-6</t>
    </r>
    <r>
      <rPr>
        <sz val="11"/>
        <color theme="1"/>
        <rFont val="Times New Roman"/>
        <family val="1"/>
      </rPr>
      <t xml:space="preserve"> cm/s) Average ± S.D. </t>
    </r>
    <r>
      <rPr>
        <vertAlign val="superscript"/>
        <sz val="11"/>
        <color theme="1"/>
        <rFont val="Times New Roman"/>
        <family val="1"/>
      </rPr>
      <t>a</t>
    </r>
  </si>
  <si>
    <r>
      <t>Vapor pressure</t>
    </r>
    <r>
      <rPr>
        <vertAlign val="superscript"/>
        <sz val="11"/>
        <color theme="1"/>
        <rFont val="Times New Roman"/>
        <family val="1"/>
      </rPr>
      <t>b</t>
    </r>
    <r>
      <rPr>
        <sz val="11"/>
        <color theme="1"/>
        <rFont val="Times New Roman"/>
        <family val="1"/>
      </rPr>
      <t xml:space="preserve"> (mmHg)</t>
    </r>
  </si>
  <si>
    <r>
      <t>LogKow</t>
    </r>
    <r>
      <rPr>
        <vertAlign val="superscript"/>
        <sz val="11"/>
        <color theme="1"/>
        <rFont val="Times New Roman"/>
        <family val="1"/>
      </rPr>
      <t xml:space="preserve">a </t>
    </r>
  </si>
  <si>
    <r>
      <t>Water Solubility</t>
    </r>
    <r>
      <rPr>
        <vertAlign val="superscript"/>
        <sz val="11"/>
        <color theme="1"/>
        <rFont val="Times New Roman"/>
        <family val="1"/>
      </rPr>
      <t>a</t>
    </r>
    <r>
      <rPr>
        <sz val="11"/>
        <color theme="1"/>
        <rFont val="Times New Roman"/>
        <family val="1"/>
      </rPr>
      <t xml:space="preserve"> (mol/L)</t>
    </r>
  </si>
  <si>
    <r>
      <t>Vapor pressure</t>
    </r>
    <r>
      <rPr>
        <vertAlign val="superscript"/>
        <sz val="11"/>
        <color theme="1"/>
        <rFont val="Times New Roman"/>
        <family val="1"/>
      </rPr>
      <t>a</t>
    </r>
    <r>
      <rPr>
        <sz val="11"/>
        <color theme="1"/>
        <rFont val="Times New Roman"/>
        <family val="1"/>
      </rPr>
      <t xml:space="preserve"> (mmHg)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</si>
</sst>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Times New Roman"/>
      <family val="1"/>
    </font>
    <font>
      <vertAlign val="superscript"/>
      <sz val="11"/>
      <color theme="1"/>
      <name val="Times New Roman"/>
      <family val="1"/>
    </font>
    <font>
      <sz val="11"/>
      <color rgb="FF000000"/>
      <name val="Times New Roman"/>
      <family val="1"/>
    </font>
    <font>
      <i/>
      <sz val="11"/>
      <color theme="1"/>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72">
    <xf numFmtId="0" fontId="0" fillId="0" borderId="0" xfId="0"/>
    <xf numFmtId="0" fontId="1" fillId="0" borderId="0" xfId="0" applyFont="1"/>
    <xf numFmtId="0" fontId="1" fillId="0" borderId="1" xfId="0" applyFont="1" applyBorder="1"/>
    <xf numFmtId="0" fontId="1" fillId="0" borderId="9" xfId="0" applyFont="1" applyBorder="1"/>
    <xf numFmtId="0" fontId="1" fillId="0" borderId="8" xfId="0" applyFont="1" applyBorder="1"/>
    <xf numFmtId="0" fontId="1" fillId="0" borderId="10" xfId="0" applyFont="1" applyBorder="1"/>
    <xf numFmtId="0" fontId="1" fillId="0" borderId="11" xfId="0" applyFont="1" applyBorder="1"/>
    <xf numFmtId="0" fontId="1" fillId="0" borderId="3" xfId="0" applyFont="1" applyBorder="1"/>
    <xf numFmtId="0" fontId="1" fillId="0" borderId="2" xfId="0" applyFont="1" applyBorder="1"/>
    <xf numFmtId="0" fontId="1" fillId="0" borderId="4" xfId="0" applyFont="1" applyBorder="1"/>
    <xf numFmtId="0" fontId="1" fillId="0" borderId="13" xfId="0" applyFont="1" applyBorder="1"/>
    <xf numFmtId="0" fontId="1" fillId="0" borderId="14" xfId="0" applyFont="1" applyBorder="1"/>
    <xf numFmtId="0" fontId="1" fillId="0" borderId="15" xfId="0" applyFont="1" applyBorder="1"/>
    <xf numFmtId="0" fontId="1" fillId="0" borderId="12" xfId="0" applyFont="1" applyBorder="1"/>
    <xf numFmtId="0" fontId="1" fillId="0" borderId="6" xfId="0" applyFont="1" applyBorder="1"/>
    <xf numFmtId="0" fontId="1" fillId="0" borderId="5" xfId="0" applyFont="1" applyBorder="1"/>
    <xf numFmtId="0" fontId="1" fillId="0" borderId="7" xfId="0" applyFont="1" applyBorder="1"/>
    <xf numFmtId="0" fontId="1" fillId="0" borderId="6" xfId="0" applyFont="1" applyBorder="1" applyAlignment="1">
      <alignment horizontal="left"/>
    </xf>
    <xf numFmtId="11" fontId="1" fillId="0" borderId="0" xfId="0" applyNumberFormat="1" applyFont="1" applyAlignment="1">
      <alignment horizontal="right"/>
    </xf>
    <xf numFmtId="0" fontId="1" fillId="0" borderId="0" xfId="0" applyFont="1" applyAlignment="1">
      <alignment horizontal="right"/>
    </xf>
    <xf numFmtId="0" fontId="1" fillId="0" borderId="15" xfId="0" applyFont="1" applyBorder="1" applyAlignment="1">
      <alignment horizontal="right"/>
    </xf>
    <xf numFmtId="11" fontId="1" fillId="0" borderId="2" xfId="0" applyNumberFormat="1" applyFont="1" applyBorder="1" applyAlignment="1">
      <alignment horizontal="right"/>
    </xf>
    <xf numFmtId="2" fontId="1" fillId="0" borderId="8" xfId="0" applyNumberFormat="1" applyFont="1" applyBorder="1"/>
    <xf numFmtId="2" fontId="1" fillId="0" borderId="9" xfId="0" applyNumberFormat="1" applyFont="1" applyBorder="1"/>
    <xf numFmtId="2" fontId="1" fillId="0" borderId="10" xfId="0" applyNumberFormat="1" applyFont="1" applyBorder="1"/>
    <xf numFmtId="0" fontId="1" fillId="0" borderId="11" xfId="0" applyFont="1" applyBorder="1" applyAlignment="1">
      <alignment horizontal="left"/>
    </xf>
    <xf numFmtId="11" fontId="1" fillId="0" borderId="11" xfId="0" applyNumberFormat="1" applyFont="1" applyBorder="1" applyAlignment="1">
      <alignment horizontal="left"/>
    </xf>
    <xf numFmtId="0" fontId="1" fillId="0" borderId="13" xfId="0" applyFont="1" applyBorder="1" applyAlignment="1">
      <alignment horizontal="left"/>
    </xf>
    <xf numFmtId="11" fontId="1" fillId="0" borderId="13" xfId="0" applyNumberFormat="1" applyFont="1" applyBorder="1" applyAlignment="1">
      <alignment horizontal="left"/>
    </xf>
    <xf numFmtId="0" fontId="1" fillId="0" borderId="12" xfId="0" applyFont="1" applyBorder="1" applyAlignment="1">
      <alignment horizontal="left"/>
    </xf>
    <xf numFmtId="11" fontId="1" fillId="0" borderId="12" xfId="0" applyNumberFormat="1" applyFont="1" applyBorder="1" applyAlignment="1">
      <alignment horizontal="left"/>
    </xf>
    <xf numFmtId="0" fontId="1" fillId="0" borderId="1" xfId="0" applyFont="1" applyBorder="1" applyAlignment="1">
      <alignment vertical="center" wrapText="1"/>
    </xf>
    <xf numFmtId="0" fontId="1" fillId="0" borderId="6" xfId="0" applyFont="1" applyBorder="1" applyAlignment="1">
      <alignment vertical="center" wrapText="1"/>
    </xf>
    <xf numFmtId="0" fontId="1" fillId="0" borderId="10" xfId="0" applyFont="1" applyBorder="1" applyAlignment="1">
      <alignment vertical="center" wrapText="1"/>
    </xf>
    <xf numFmtId="0" fontId="1" fillId="0" borderId="0" xfId="0" applyFont="1" applyAlignment="1">
      <alignment horizontal="left"/>
    </xf>
    <xf numFmtId="0" fontId="1" fillId="0" borderId="15" xfId="0" applyFont="1" applyBorder="1" applyAlignment="1">
      <alignment horizontal="left"/>
    </xf>
    <xf numFmtId="0" fontId="1" fillId="0" borderId="7" xfId="0" applyFont="1" applyBorder="1" applyAlignment="1">
      <alignment horizontal="left"/>
    </xf>
    <xf numFmtId="0" fontId="1" fillId="0" borderId="10" xfId="0" applyFont="1" applyBorder="1" applyAlignment="1">
      <alignment wrapText="1"/>
    </xf>
    <xf numFmtId="0" fontId="1" fillId="0" borderId="11" xfId="0" applyFont="1" applyBorder="1" applyAlignment="1">
      <alignment wrapText="1"/>
    </xf>
    <xf numFmtId="0" fontId="1" fillId="0" borderId="1" xfId="0" applyFont="1" applyBorder="1" applyAlignment="1">
      <alignment wrapText="1"/>
    </xf>
    <xf numFmtId="0" fontId="1" fillId="0" borderId="9" xfId="0" applyFont="1" applyBorder="1" applyAlignment="1">
      <alignment wrapText="1"/>
    </xf>
    <xf numFmtId="2" fontId="1" fillId="0" borderId="13" xfId="0" applyNumberFormat="1" applyFont="1" applyBorder="1" applyAlignment="1">
      <alignment horizontal="left"/>
    </xf>
    <xf numFmtId="2" fontId="1" fillId="0" borderId="11" xfId="0" applyNumberFormat="1" applyFont="1" applyBorder="1" applyAlignment="1">
      <alignment horizontal="left"/>
    </xf>
    <xf numFmtId="2" fontId="1" fillId="0" borderId="12" xfId="0" applyNumberFormat="1" applyFont="1" applyBorder="1" applyAlignment="1">
      <alignment horizontal="left"/>
    </xf>
    <xf numFmtId="11" fontId="3" fillId="0" borderId="13" xfId="0" applyNumberFormat="1" applyFont="1" applyBorder="1" applyAlignment="1">
      <alignment horizontal="left"/>
    </xf>
    <xf numFmtId="0" fontId="1" fillId="0" borderId="8" xfId="0" applyFont="1" applyBorder="1" applyAlignment="1">
      <alignment wrapText="1"/>
    </xf>
    <xf numFmtId="0" fontId="4" fillId="0" borderId="2" xfId="0" applyFont="1" applyBorder="1"/>
    <xf numFmtId="0" fontId="4" fillId="0" borderId="14" xfId="0" applyFont="1" applyBorder="1"/>
    <xf numFmtId="164" fontId="4" fillId="0" borderId="14" xfId="0" applyNumberFormat="1" applyFont="1" applyBorder="1"/>
    <xf numFmtId="0" fontId="4" fillId="0" borderId="5" xfId="0" applyFont="1" applyBorder="1"/>
    <xf numFmtId="0" fontId="1" fillId="0" borderId="6" xfId="0" applyFont="1" applyBorder="1" applyAlignment="1">
      <alignment horizontal="left"/>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3" xfId="0" applyFont="1" applyBorder="1" applyAlignment="1">
      <alignment horizontal="left" vertical="center"/>
    </xf>
    <xf numFmtId="0" fontId="1" fillId="0" borderId="6"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0" borderId="4" xfId="0" applyFont="1" applyBorder="1" applyAlignment="1">
      <alignment horizontal="center" wrapText="1"/>
    </xf>
    <xf numFmtId="0" fontId="1" fillId="0" borderId="8" xfId="0" applyFont="1" applyBorder="1" applyAlignment="1">
      <alignment horizontal="left"/>
    </xf>
    <xf numFmtId="0" fontId="1" fillId="0" borderId="9" xfId="0" applyFont="1" applyBorder="1" applyAlignment="1">
      <alignment horizontal="left"/>
    </xf>
    <xf numFmtId="0" fontId="1" fillId="0" borderId="11" xfId="0" applyFont="1" applyBorder="1" applyAlignment="1">
      <alignment horizontal="center" vertical="top"/>
    </xf>
    <xf numFmtId="0" fontId="1" fillId="0" borderId="13" xfId="0" applyFont="1" applyBorder="1" applyAlignment="1">
      <alignment horizontal="center" vertical="top"/>
    </xf>
    <xf numFmtId="0" fontId="1"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299A-F650-4801-BEA4-513E3F70C77A}">
  <dimension ref="A1:H110"/>
  <sheetViews>
    <sheetView workbookViewId="0">
      <selection activeCell="C117" sqref="C117"/>
    </sheetView>
  </sheetViews>
  <sheetFormatPr defaultRowHeight="15" x14ac:dyDescent="0.25"/>
  <cols>
    <col min="1" max="1" width="27.140625" customWidth="1"/>
    <col min="2" max="2" width="11.42578125" bestFit="1" customWidth="1"/>
    <col min="3" max="3" width="15.28515625" customWidth="1"/>
    <col min="4" max="7" width="18.7109375" customWidth="1"/>
    <col min="8" max="8" width="19.85546875" bestFit="1" customWidth="1"/>
  </cols>
  <sheetData>
    <row r="1" spans="1:8" x14ac:dyDescent="0.25">
      <c r="A1" s="50" t="s">
        <v>447</v>
      </c>
      <c r="B1" s="50"/>
      <c r="C1" s="50"/>
      <c r="D1" s="50"/>
      <c r="E1" s="50"/>
      <c r="F1" s="50"/>
      <c r="G1" s="50"/>
      <c r="H1" s="50"/>
    </row>
    <row r="2" spans="1:8" x14ac:dyDescent="0.25">
      <c r="A2" s="51" t="s">
        <v>106</v>
      </c>
      <c r="B2" s="53" t="s">
        <v>107</v>
      </c>
      <c r="C2" s="55" t="s">
        <v>413</v>
      </c>
      <c r="D2" s="57" t="s">
        <v>414</v>
      </c>
      <c r="E2" s="58"/>
      <c r="F2" s="58"/>
      <c r="G2" s="59"/>
      <c r="H2" s="60" t="s">
        <v>108</v>
      </c>
    </row>
    <row r="3" spans="1:8" x14ac:dyDescent="0.25">
      <c r="A3" s="52"/>
      <c r="B3" s="54"/>
      <c r="C3" s="56"/>
      <c r="D3" s="31" t="s">
        <v>415</v>
      </c>
      <c r="E3" s="32" t="s">
        <v>416</v>
      </c>
      <c r="F3" s="31" t="s">
        <v>417</v>
      </c>
      <c r="G3" s="33" t="s">
        <v>418</v>
      </c>
      <c r="H3" s="61"/>
    </row>
    <row r="4" spans="1:8" x14ac:dyDescent="0.25">
      <c r="A4" s="6" t="s">
        <v>110</v>
      </c>
      <c r="B4" s="1" t="s">
        <v>111</v>
      </c>
      <c r="C4" s="6" t="s">
        <v>112</v>
      </c>
      <c r="D4" s="34">
        <v>7.4</v>
      </c>
      <c r="E4" s="25">
        <v>18</v>
      </c>
      <c r="F4" s="34" t="s">
        <v>419</v>
      </c>
      <c r="G4" s="25" t="s">
        <v>420</v>
      </c>
      <c r="H4" s="35" t="s">
        <v>113</v>
      </c>
    </row>
    <row r="5" spans="1:8" x14ac:dyDescent="0.25">
      <c r="A5" s="10" t="s">
        <v>114</v>
      </c>
      <c r="B5" s="1" t="s">
        <v>115</v>
      </c>
      <c r="C5" s="10" t="s">
        <v>116</v>
      </c>
      <c r="D5" s="34">
        <v>7.4</v>
      </c>
      <c r="E5" s="27">
        <v>18</v>
      </c>
      <c r="F5" s="34" t="s">
        <v>419</v>
      </c>
      <c r="G5" s="27" t="s">
        <v>420</v>
      </c>
      <c r="H5" s="35" t="s">
        <v>113</v>
      </c>
    </row>
    <row r="6" spans="1:8" x14ac:dyDescent="0.25">
      <c r="A6" s="10" t="s">
        <v>117</v>
      </c>
      <c r="B6" s="1" t="s">
        <v>118</v>
      </c>
      <c r="C6" s="10" t="s">
        <v>119</v>
      </c>
      <c r="D6" s="34">
        <v>7.4</v>
      </c>
      <c r="E6" s="27">
        <v>18</v>
      </c>
      <c r="F6" s="34" t="s">
        <v>419</v>
      </c>
      <c r="G6" s="27" t="s">
        <v>420</v>
      </c>
      <c r="H6" s="35" t="s">
        <v>113</v>
      </c>
    </row>
    <row r="7" spans="1:8" x14ac:dyDescent="0.25">
      <c r="A7" s="10" t="s">
        <v>120</v>
      </c>
      <c r="B7" s="1" t="s">
        <v>121</v>
      </c>
      <c r="C7" s="10" t="s">
        <v>122</v>
      </c>
      <c r="D7" s="34">
        <v>7.4</v>
      </c>
      <c r="E7" s="27">
        <v>18</v>
      </c>
      <c r="F7" s="34" t="s">
        <v>419</v>
      </c>
      <c r="G7" s="27" t="s">
        <v>420</v>
      </c>
      <c r="H7" s="35" t="s">
        <v>113</v>
      </c>
    </row>
    <row r="8" spans="1:8" x14ac:dyDescent="0.25">
      <c r="A8" s="10" t="s">
        <v>123</v>
      </c>
      <c r="B8" s="1" t="s">
        <v>124</v>
      </c>
      <c r="C8" s="10" t="s">
        <v>125</v>
      </c>
      <c r="D8" s="34">
        <v>7.4</v>
      </c>
      <c r="E8" s="27">
        <v>18</v>
      </c>
      <c r="F8" s="34" t="s">
        <v>419</v>
      </c>
      <c r="G8" s="27" t="s">
        <v>420</v>
      </c>
      <c r="H8" s="35" t="s">
        <v>113</v>
      </c>
    </row>
    <row r="9" spans="1:8" x14ac:dyDescent="0.25">
      <c r="A9" s="10" t="s">
        <v>126</v>
      </c>
      <c r="B9" s="1" t="s">
        <v>127</v>
      </c>
      <c r="C9" s="10" t="s">
        <v>128</v>
      </c>
      <c r="D9" s="34">
        <v>7.4</v>
      </c>
      <c r="E9" s="27">
        <v>18</v>
      </c>
      <c r="F9" s="34" t="s">
        <v>419</v>
      </c>
      <c r="G9" s="27" t="s">
        <v>420</v>
      </c>
      <c r="H9" s="35" t="s">
        <v>113</v>
      </c>
    </row>
    <row r="10" spans="1:8" x14ac:dyDescent="0.25">
      <c r="A10" s="10" t="s">
        <v>129</v>
      </c>
      <c r="B10" s="1" t="s">
        <v>130</v>
      </c>
      <c r="C10" s="10" t="s">
        <v>131</v>
      </c>
      <c r="D10" s="34">
        <v>7.4</v>
      </c>
      <c r="E10" s="27">
        <v>18</v>
      </c>
      <c r="F10" s="34" t="s">
        <v>419</v>
      </c>
      <c r="G10" s="27" t="s">
        <v>420</v>
      </c>
      <c r="H10" s="35" t="s">
        <v>113</v>
      </c>
    </row>
    <row r="11" spans="1:8" x14ac:dyDescent="0.25">
      <c r="A11" s="10" t="s">
        <v>132</v>
      </c>
      <c r="B11" s="1" t="s">
        <v>133</v>
      </c>
      <c r="C11" s="10" t="s">
        <v>134</v>
      </c>
      <c r="D11" s="34">
        <v>7.4</v>
      </c>
      <c r="E11" s="27">
        <v>18</v>
      </c>
      <c r="F11" s="34" t="s">
        <v>419</v>
      </c>
      <c r="G11" s="27" t="s">
        <v>420</v>
      </c>
      <c r="H11" s="35" t="s">
        <v>113</v>
      </c>
    </row>
    <row r="12" spans="1:8" x14ac:dyDescent="0.25">
      <c r="A12" s="10" t="s">
        <v>135</v>
      </c>
      <c r="B12" s="1" t="s">
        <v>136</v>
      </c>
      <c r="C12" s="10" t="s">
        <v>137</v>
      </c>
      <c r="D12" s="34">
        <v>7.4</v>
      </c>
      <c r="E12" s="27">
        <v>18</v>
      </c>
      <c r="F12" s="34" t="s">
        <v>419</v>
      </c>
      <c r="G12" s="27" t="s">
        <v>420</v>
      </c>
      <c r="H12" s="35" t="s">
        <v>113</v>
      </c>
    </row>
    <row r="13" spans="1:8" x14ac:dyDescent="0.25">
      <c r="A13" s="10" t="s">
        <v>138</v>
      </c>
      <c r="B13" s="1" t="s">
        <v>139</v>
      </c>
      <c r="C13" s="10" t="s">
        <v>140</v>
      </c>
      <c r="D13" s="34">
        <v>7.4</v>
      </c>
      <c r="E13" s="27">
        <v>18</v>
      </c>
      <c r="F13" s="34" t="s">
        <v>419</v>
      </c>
      <c r="G13" s="27" t="s">
        <v>420</v>
      </c>
      <c r="H13" s="35" t="s">
        <v>113</v>
      </c>
    </row>
    <row r="14" spans="1:8" x14ac:dyDescent="0.25">
      <c r="A14" s="10" t="s">
        <v>141</v>
      </c>
      <c r="B14" s="1" t="s">
        <v>142</v>
      </c>
      <c r="C14" s="10" t="s">
        <v>143</v>
      </c>
      <c r="D14" s="34">
        <v>7.4</v>
      </c>
      <c r="E14" s="27">
        <v>18</v>
      </c>
      <c r="F14" s="34" t="s">
        <v>419</v>
      </c>
      <c r="G14" s="27" t="s">
        <v>420</v>
      </c>
      <c r="H14" s="35" t="s">
        <v>113</v>
      </c>
    </row>
    <row r="15" spans="1:8" x14ac:dyDescent="0.25">
      <c r="A15" s="10" t="s">
        <v>144</v>
      </c>
      <c r="B15" s="1" t="s">
        <v>145</v>
      </c>
      <c r="C15" s="10" t="s">
        <v>146</v>
      </c>
      <c r="D15" s="34">
        <v>7.4</v>
      </c>
      <c r="E15" s="27">
        <v>18</v>
      </c>
      <c r="F15" s="34" t="s">
        <v>419</v>
      </c>
      <c r="G15" s="27" t="s">
        <v>420</v>
      </c>
      <c r="H15" s="35" t="s">
        <v>113</v>
      </c>
    </row>
    <row r="16" spans="1:8" x14ac:dyDescent="0.25">
      <c r="A16" s="10" t="s">
        <v>147</v>
      </c>
      <c r="B16" s="1" t="s">
        <v>148</v>
      </c>
      <c r="C16" s="10" t="s">
        <v>149</v>
      </c>
      <c r="D16" s="34">
        <v>7.4</v>
      </c>
      <c r="E16" s="27">
        <v>18</v>
      </c>
      <c r="F16" s="34" t="s">
        <v>419</v>
      </c>
      <c r="G16" s="27" t="s">
        <v>420</v>
      </c>
      <c r="H16" s="35" t="s">
        <v>113</v>
      </c>
    </row>
    <row r="17" spans="1:8" x14ac:dyDescent="0.25">
      <c r="A17" s="10" t="s">
        <v>150</v>
      </c>
      <c r="B17" s="1" t="s">
        <v>151</v>
      </c>
      <c r="C17" s="10" t="s">
        <v>152</v>
      </c>
      <c r="D17" s="34">
        <v>7.4</v>
      </c>
      <c r="E17" s="27">
        <v>18</v>
      </c>
      <c r="F17" s="34" t="s">
        <v>419</v>
      </c>
      <c r="G17" s="27" t="s">
        <v>420</v>
      </c>
      <c r="H17" s="35" t="s">
        <v>113</v>
      </c>
    </row>
    <row r="18" spans="1:8" x14ac:dyDescent="0.25">
      <c r="A18" s="10" t="s">
        <v>153</v>
      </c>
      <c r="B18" s="1" t="s">
        <v>154</v>
      </c>
      <c r="C18" s="10" t="s">
        <v>155</v>
      </c>
      <c r="D18" s="34">
        <v>7.4</v>
      </c>
      <c r="E18" s="27">
        <v>18</v>
      </c>
      <c r="F18" s="34" t="s">
        <v>419</v>
      </c>
      <c r="G18" s="27" t="s">
        <v>420</v>
      </c>
      <c r="H18" s="35" t="s">
        <v>113</v>
      </c>
    </row>
    <row r="19" spans="1:8" x14ac:dyDescent="0.25">
      <c r="A19" s="10" t="s">
        <v>156</v>
      </c>
      <c r="B19" s="1" t="s">
        <v>157</v>
      </c>
      <c r="C19" s="10" t="s">
        <v>158</v>
      </c>
      <c r="D19" s="34">
        <v>7.4</v>
      </c>
      <c r="E19" s="27">
        <v>18</v>
      </c>
      <c r="F19" s="34" t="s">
        <v>419</v>
      </c>
      <c r="G19" s="27" t="s">
        <v>420</v>
      </c>
      <c r="H19" s="35" t="s">
        <v>113</v>
      </c>
    </row>
    <row r="20" spans="1:8" x14ac:dyDescent="0.25">
      <c r="A20" s="10" t="s">
        <v>159</v>
      </c>
      <c r="B20" s="1" t="s">
        <v>160</v>
      </c>
      <c r="C20" s="10" t="s">
        <v>161</v>
      </c>
      <c r="D20" s="34">
        <v>7.4</v>
      </c>
      <c r="E20" s="27">
        <v>18</v>
      </c>
      <c r="F20" s="34" t="s">
        <v>419</v>
      </c>
      <c r="G20" s="27" t="s">
        <v>420</v>
      </c>
      <c r="H20" s="35" t="s">
        <v>113</v>
      </c>
    </row>
    <row r="21" spans="1:8" x14ac:dyDescent="0.25">
      <c r="A21" s="10" t="s">
        <v>162</v>
      </c>
      <c r="B21" s="1" t="s">
        <v>163</v>
      </c>
      <c r="C21" s="10" t="s">
        <v>164</v>
      </c>
      <c r="D21" s="34">
        <v>7.4</v>
      </c>
      <c r="E21" s="27">
        <v>18</v>
      </c>
      <c r="F21" s="34" t="s">
        <v>419</v>
      </c>
      <c r="G21" s="27" t="s">
        <v>420</v>
      </c>
      <c r="H21" s="35" t="s">
        <v>113</v>
      </c>
    </row>
    <row r="22" spans="1:8" x14ac:dyDescent="0.25">
      <c r="A22" s="10" t="s">
        <v>165</v>
      </c>
      <c r="B22" s="1" t="s">
        <v>166</v>
      </c>
      <c r="C22" s="10" t="s">
        <v>167</v>
      </c>
      <c r="D22" s="34">
        <v>7.4</v>
      </c>
      <c r="E22" s="27">
        <v>18</v>
      </c>
      <c r="F22" s="34" t="s">
        <v>419</v>
      </c>
      <c r="G22" s="27" t="s">
        <v>420</v>
      </c>
      <c r="H22" s="35" t="s">
        <v>113</v>
      </c>
    </row>
    <row r="23" spans="1:8" x14ac:dyDescent="0.25">
      <c r="A23" s="10" t="s">
        <v>168</v>
      </c>
      <c r="B23" s="1" t="s">
        <v>169</v>
      </c>
      <c r="C23" s="10" t="s">
        <v>170</v>
      </c>
      <c r="D23" s="34">
        <v>7.4</v>
      </c>
      <c r="E23" s="27">
        <v>18</v>
      </c>
      <c r="F23" s="34" t="s">
        <v>419</v>
      </c>
      <c r="G23" s="27" t="s">
        <v>420</v>
      </c>
      <c r="H23" s="35" t="s">
        <v>113</v>
      </c>
    </row>
    <row r="24" spans="1:8" x14ac:dyDescent="0.25">
      <c r="A24" s="10" t="s">
        <v>171</v>
      </c>
      <c r="B24" s="1" t="s">
        <v>172</v>
      </c>
      <c r="C24" s="10" t="s">
        <v>173</v>
      </c>
      <c r="D24" s="34">
        <v>7.4</v>
      </c>
      <c r="E24" s="27">
        <v>18</v>
      </c>
      <c r="F24" s="34" t="s">
        <v>419</v>
      </c>
      <c r="G24" s="27" t="s">
        <v>420</v>
      </c>
      <c r="H24" s="35" t="s">
        <v>113</v>
      </c>
    </row>
    <row r="25" spans="1:8" x14ac:dyDescent="0.25">
      <c r="A25" s="10" t="s">
        <v>174</v>
      </c>
      <c r="B25" s="1" t="s">
        <v>175</v>
      </c>
      <c r="C25" s="10" t="s">
        <v>176</v>
      </c>
      <c r="D25" s="34">
        <v>7.4</v>
      </c>
      <c r="E25" s="27">
        <v>18</v>
      </c>
      <c r="F25" s="34" t="s">
        <v>419</v>
      </c>
      <c r="G25" s="27" t="s">
        <v>420</v>
      </c>
      <c r="H25" s="35" t="s">
        <v>113</v>
      </c>
    </row>
    <row r="26" spans="1:8" x14ac:dyDescent="0.25">
      <c r="A26" s="10" t="s">
        <v>177</v>
      </c>
      <c r="B26" s="1" t="s">
        <v>178</v>
      </c>
      <c r="C26" s="10" t="s">
        <v>179</v>
      </c>
      <c r="D26" s="34">
        <v>7.4</v>
      </c>
      <c r="E26" s="27">
        <v>18</v>
      </c>
      <c r="F26" s="34" t="s">
        <v>419</v>
      </c>
      <c r="G26" s="27" t="s">
        <v>420</v>
      </c>
      <c r="H26" s="35" t="s">
        <v>113</v>
      </c>
    </row>
    <row r="27" spans="1:8" x14ac:dyDescent="0.25">
      <c r="A27" s="10" t="s">
        <v>180</v>
      </c>
      <c r="B27" s="1" t="s">
        <v>181</v>
      </c>
      <c r="C27" s="10" t="s">
        <v>182</v>
      </c>
      <c r="D27" s="34">
        <v>7.4</v>
      </c>
      <c r="E27" s="27">
        <v>18</v>
      </c>
      <c r="F27" s="34" t="s">
        <v>419</v>
      </c>
      <c r="G27" s="27" t="s">
        <v>420</v>
      </c>
      <c r="H27" s="35" t="s">
        <v>113</v>
      </c>
    </row>
    <row r="28" spans="1:8" x14ac:dyDescent="0.25">
      <c r="A28" s="10" t="s">
        <v>183</v>
      </c>
      <c r="B28" s="1" t="s">
        <v>184</v>
      </c>
      <c r="C28" s="10" t="s">
        <v>185</v>
      </c>
      <c r="D28" s="34">
        <v>7.4</v>
      </c>
      <c r="E28" s="27">
        <v>18</v>
      </c>
      <c r="F28" s="34" t="s">
        <v>419</v>
      </c>
      <c r="G28" s="27" t="s">
        <v>420</v>
      </c>
      <c r="H28" s="35" t="s">
        <v>113</v>
      </c>
    </row>
    <row r="29" spans="1:8" x14ac:dyDescent="0.25">
      <c r="A29" s="10" t="s">
        <v>186</v>
      </c>
      <c r="B29" s="1" t="s">
        <v>187</v>
      </c>
      <c r="C29" s="10" t="s">
        <v>188</v>
      </c>
      <c r="D29" s="34">
        <v>7.4</v>
      </c>
      <c r="E29" s="27">
        <v>18</v>
      </c>
      <c r="F29" s="34" t="s">
        <v>419</v>
      </c>
      <c r="G29" s="27" t="s">
        <v>420</v>
      </c>
      <c r="H29" s="35" t="s">
        <v>113</v>
      </c>
    </row>
    <row r="30" spans="1:8" x14ac:dyDescent="0.25">
      <c r="A30" s="10" t="s">
        <v>189</v>
      </c>
      <c r="B30" s="1" t="s">
        <v>190</v>
      </c>
      <c r="C30" s="10" t="s">
        <v>191</v>
      </c>
      <c r="D30" s="34">
        <v>7.4</v>
      </c>
      <c r="E30" s="27">
        <v>18</v>
      </c>
      <c r="F30" s="34" t="s">
        <v>419</v>
      </c>
      <c r="G30" s="27" t="s">
        <v>420</v>
      </c>
      <c r="H30" s="35" t="s">
        <v>113</v>
      </c>
    </row>
    <row r="31" spans="1:8" x14ac:dyDescent="0.25">
      <c r="A31" s="10" t="s">
        <v>192</v>
      </c>
      <c r="B31" s="1" t="s">
        <v>193</v>
      </c>
      <c r="C31" s="10" t="s">
        <v>194</v>
      </c>
      <c r="D31" s="34">
        <v>7.4</v>
      </c>
      <c r="E31" s="27">
        <v>18</v>
      </c>
      <c r="F31" s="34" t="s">
        <v>419</v>
      </c>
      <c r="G31" s="27" t="s">
        <v>420</v>
      </c>
      <c r="H31" s="35" t="s">
        <v>113</v>
      </c>
    </row>
    <row r="32" spans="1:8" x14ac:dyDescent="0.25">
      <c r="A32" s="10" t="s">
        <v>195</v>
      </c>
      <c r="B32" s="1" t="s">
        <v>196</v>
      </c>
      <c r="C32" s="10" t="s">
        <v>197</v>
      </c>
      <c r="D32" s="34">
        <v>7.4</v>
      </c>
      <c r="E32" s="27">
        <v>18</v>
      </c>
      <c r="F32" s="34" t="s">
        <v>419</v>
      </c>
      <c r="G32" s="27" t="s">
        <v>420</v>
      </c>
      <c r="H32" s="35" t="s">
        <v>113</v>
      </c>
    </row>
    <row r="33" spans="1:8" x14ac:dyDescent="0.25">
      <c r="A33" s="10" t="s">
        <v>198</v>
      </c>
      <c r="B33" s="1" t="s">
        <v>199</v>
      </c>
      <c r="C33" s="10" t="s">
        <v>200</v>
      </c>
      <c r="D33" s="34">
        <v>7.4</v>
      </c>
      <c r="E33" s="27">
        <v>18</v>
      </c>
      <c r="F33" s="34" t="s">
        <v>419</v>
      </c>
      <c r="G33" s="27" t="s">
        <v>420</v>
      </c>
      <c r="H33" s="35" t="s">
        <v>113</v>
      </c>
    </row>
    <row r="34" spans="1:8" x14ac:dyDescent="0.25">
      <c r="A34" s="10" t="s">
        <v>201</v>
      </c>
      <c r="B34" s="1" t="s">
        <v>202</v>
      </c>
      <c r="C34" s="10" t="s">
        <v>203</v>
      </c>
      <c r="D34" s="34">
        <v>7.4</v>
      </c>
      <c r="E34" s="27">
        <v>18</v>
      </c>
      <c r="F34" s="34" t="s">
        <v>419</v>
      </c>
      <c r="G34" s="27" t="s">
        <v>420</v>
      </c>
      <c r="H34" s="35" t="s">
        <v>204</v>
      </c>
    </row>
    <row r="35" spans="1:8" ht="18" x14ac:dyDescent="0.25">
      <c r="A35" s="10" t="s">
        <v>206</v>
      </c>
      <c r="B35" s="1" t="s">
        <v>207</v>
      </c>
      <c r="C35" s="10" t="s">
        <v>421</v>
      </c>
      <c r="D35" s="34">
        <v>7.4</v>
      </c>
      <c r="E35" s="27">
        <v>18</v>
      </c>
      <c r="F35" s="34" t="s">
        <v>419</v>
      </c>
      <c r="G35" s="27" t="s">
        <v>420</v>
      </c>
      <c r="H35" s="35" t="s">
        <v>204</v>
      </c>
    </row>
    <row r="36" spans="1:8" x14ac:dyDescent="0.25">
      <c r="A36" s="10" t="s">
        <v>208</v>
      </c>
      <c r="B36" s="1" t="s">
        <v>209</v>
      </c>
      <c r="C36" s="10" t="s">
        <v>210</v>
      </c>
      <c r="D36" s="34">
        <v>7.4</v>
      </c>
      <c r="E36" s="27">
        <v>18</v>
      </c>
      <c r="F36" s="34" t="s">
        <v>419</v>
      </c>
      <c r="G36" s="27" t="s">
        <v>420</v>
      </c>
      <c r="H36" s="35" t="s">
        <v>204</v>
      </c>
    </row>
    <row r="37" spans="1:8" x14ac:dyDescent="0.25">
      <c r="A37" s="10" t="s">
        <v>212</v>
      </c>
      <c r="B37" s="1" t="s">
        <v>213</v>
      </c>
      <c r="C37" s="10" t="s">
        <v>214</v>
      </c>
      <c r="D37" s="34">
        <v>7.4</v>
      </c>
      <c r="E37" s="27">
        <v>18</v>
      </c>
      <c r="F37" s="34" t="s">
        <v>419</v>
      </c>
      <c r="G37" s="27" t="s">
        <v>420</v>
      </c>
      <c r="H37" s="35" t="s">
        <v>204</v>
      </c>
    </row>
    <row r="38" spans="1:8" x14ac:dyDescent="0.25">
      <c r="A38" s="10" t="s">
        <v>215</v>
      </c>
      <c r="B38" s="1" t="s">
        <v>216</v>
      </c>
      <c r="C38" s="10" t="s">
        <v>217</v>
      </c>
      <c r="D38" s="34">
        <v>7.4</v>
      </c>
      <c r="E38" s="27">
        <v>18</v>
      </c>
      <c r="F38" s="34" t="s">
        <v>419</v>
      </c>
      <c r="G38" s="27" t="s">
        <v>420</v>
      </c>
      <c r="H38" s="35" t="s">
        <v>204</v>
      </c>
    </row>
    <row r="39" spans="1:8" x14ac:dyDescent="0.25">
      <c r="A39" s="10" t="s">
        <v>218</v>
      </c>
      <c r="B39" s="1" t="s">
        <v>219</v>
      </c>
      <c r="C39" s="10" t="s">
        <v>220</v>
      </c>
      <c r="D39" s="34">
        <v>7.4</v>
      </c>
      <c r="E39" s="27">
        <v>18</v>
      </c>
      <c r="F39" s="34" t="s">
        <v>419</v>
      </c>
      <c r="G39" s="27" t="s">
        <v>420</v>
      </c>
      <c r="H39" s="35" t="s">
        <v>204</v>
      </c>
    </row>
    <row r="40" spans="1:8" x14ac:dyDescent="0.25">
      <c r="A40" s="10" t="s">
        <v>221</v>
      </c>
      <c r="B40" s="1" t="s">
        <v>222</v>
      </c>
      <c r="C40" s="10" t="s">
        <v>223</v>
      </c>
      <c r="D40" s="34">
        <v>7.4</v>
      </c>
      <c r="E40" s="27">
        <v>18</v>
      </c>
      <c r="F40" s="34" t="s">
        <v>419</v>
      </c>
      <c r="G40" s="27" t="s">
        <v>420</v>
      </c>
      <c r="H40" s="35" t="s">
        <v>204</v>
      </c>
    </row>
    <row r="41" spans="1:8" x14ac:dyDescent="0.25">
      <c r="A41" s="10" t="s">
        <v>224</v>
      </c>
      <c r="B41" s="1" t="s">
        <v>225</v>
      </c>
      <c r="C41" s="10" t="s">
        <v>226</v>
      </c>
      <c r="D41" s="34">
        <v>7.4</v>
      </c>
      <c r="E41" s="27">
        <v>18</v>
      </c>
      <c r="F41" s="34" t="s">
        <v>419</v>
      </c>
      <c r="G41" s="27" t="s">
        <v>420</v>
      </c>
      <c r="H41" s="35" t="s">
        <v>204</v>
      </c>
    </row>
    <row r="42" spans="1:8" x14ac:dyDescent="0.25">
      <c r="A42" s="10" t="s">
        <v>192</v>
      </c>
      <c r="B42" s="1" t="s">
        <v>193</v>
      </c>
      <c r="C42" s="10" t="s">
        <v>229</v>
      </c>
      <c r="D42" s="34">
        <v>7.4</v>
      </c>
      <c r="E42" s="27">
        <v>18</v>
      </c>
      <c r="F42" s="34" t="s">
        <v>419</v>
      </c>
      <c r="G42" s="27" t="s">
        <v>420</v>
      </c>
      <c r="H42" s="35" t="s">
        <v>204</v>
      </c>
    </row>
    <row r="43" spans="1:8" x14ac:dyDescent="0.25">
      <c r="A43" s="10" t="s">
        <v>230</v>
      </c>
      <c r="B43" s="1" t="s">
        <v>231</v>
      </c>
      <c r="C43" s="10" t="s">
        <v>232</v>
      </c>
      <c r="D43" s="34">
        <v>7.4</v>
      </c>
      <c r="E43" s="27">
        <v>18</v>
      </c>
      <c r="F43" s="34" t="s">
        <v>419</v>
      </c>
      <c r="G43" s="27" t="s">
        <v>420</v>
      </c>
      <c r="H43" s="35" t="s">
        <v>204</v>
      </c>
    </row>
    <row r="44" spans="1:8" x14ac:dyDescent="0.25">
      <c r="A44" s="10" t="s">
        <v>233</v>
      </c>
      <c r="B44" s="1" t="s">
        <v>234</v>
      </c>
      <c r="C44" s="10" t="s">
        <v>235</v>
      </c>
      <c r="D44" s="34">
        <v>7.4</v>
      </c>
      <c r="E44" s="27">
        <v>18</v>
      </c>
      <c r="F44" s="34" t="s">
        <v>419</v>
      </c>
      <c r="G44" s="27" t="s">
        <v>420</v>
      </c>
      <c r="H44" s="35" t="s">
        <v>204</v>
      </c>
    </row>
    <row r="45" spans="1:8" x14ac:dyDescent="0.25">
      <c r="A45" s="10" t="s">
        <v>236</v>
      </c>
      <c r="B45" s="1" t="s">
        <v>237</v>
      </c>
      <c r="C45" s="10" t="s">
        <v>238</v>
      </c>
      <c r="D45" s="34">
        <v>7.4</v>
      </c>
      <c r="E45" s="27">
        <v>18</v>
      </c>
      <c r="F45" s="34" t="s">
        <v>419</v>
      </c>
      <c r="G45" s="27" t="s">
        <v>420</v>
      </c>
      <c r="H45" s="35" t="s">
        <v>204</v>
      </c>
    </row>
    <row r="46" spans="1:8" x14ac:dyDescent="0.25">
      <c r="A46" s="10" t="s">
        <v>240</v>
      </c>
      <c r="B46" s="1" t="s">
        <v>241</v>
      </c>
      <c r="C46" s="10" t="s">
        <v>242</v>
      </c>
      <c r="D46" s="34">
        <v>7.4</v>
      </c>
      <c r="E46" s="27">
        <v>18</v>
      </c>
      <c r="F46" s="34" t="s">
        <v>419</v>
      </c>
      <c r="G46" s="27" t="s">
        <v>420</v>
      </c>
      <c r="H46" s="35" t="s">
        <v>204</v>
      </c>
    </row>
    <row r="47" spans="1:8" ht="18" x14ac:dyDescent="0.25">
      <c r="A47" s="10" t="s">
        <v>243</v>
      </c>
      <c r="B47" s="1" t="s">
        <v>244</v>
      </c>
      <c r="C47" s="10" t="s">
        <v>422</v>
      </c>
      <c r="D47" s="34">
        <v>7.4</v>
      </c>
      <c r="E47" s="27">
        <v>18</v>
      </c>
      <c r="F47" s="34" t="s">
        <v>419</v>
      </c>
      <c r="G47" s="27" t="s">
        <v>420</v>
      </c>
      <c r="H47" s="35" t="s">
        <v>204</v>
      </c>
    </row>
    <row r="48" spans="1:8" x14ac:dyDescent="0.25">
      <c r="A48" s="10" t="s">
        <v>245</v>
      </c>
      <c r="B48" s="1" t="s">
        <v>246</v>
      </c>
      <c r="C48" s="10" t="s">
        <v>247</v>
      </c>
      <c r="D48" s="34">
        <v>7.4</v>
      </c>
      <c r="E48" s="27">
        <v>18</v>
      </c>
      <c r="F48" s="34" t="s">
        <v>419</v>
      </c>
      <c r="G48" s="27" t="s">
        <v>420</v>
      </c>
      <c r="H48" s="35" t="s">
        <v>204</v>
      </c>
    </row>
    <row r="49" spans="1:8" x14ac:dyDescent="0.25">
      <c r="A49" s="10" t="s">
        <v>248</v>
      </c>
      <c r="B49" s="1" t="s">
        <v>249</v>
      </c>
      <c r="C49" s="10" t="s">
        <v>250</v>
      </c>
      <c r="D49" s="34">
        <v>7.4</v>
      </c>
      <c r="E49" s="27">
        <v>18</v>
      </c>
      <c r="F49" s="34" t="s">
        <v>419</v>
      </c>
      <c r="G49" s="27" t="s">
        <v>420</v>
      </c>
      <c r="H49" s="35" t="s">
        <v>204</v>
      </c>
    </row>
    <row r="50" spans="1:8" ht="18" x14ac:dyDescent="0.25">
      <c r="A50" s="10" t="s">
        <v>251</v>
      </c>
      <c r="B50" s="1" t="s">
        <v>252</v>
      </c>
      <c r="C50" s="10" t="s">
        <v>423</v>
      </c>
      <c r="D50" s="34">
        <v>7.4</v>
      </c>
      <c r="E50" s="27">
        <v>18</v>
      </c>
      <c r="F50" s="34" t="s">
        <v>419</v>
      </c>
      <c r="G50" s="27" t="s">
        <v>420</v>
      </c>
      <c r="H50" s="35" t="s">
        <v>204</v>
      </c>
    </row>
    <row r="51" spans="1:8" ht="18" x14ac:dyDescent="0.25">
      <c r="A51" s="10" t="s">
        <v>253</v>
      </c>
      <c r="B51" s="1" t="s">
        <v>254</v>
      </c>
      <c r="C51" s="10" t="s">
        <v>424</v>
      </c>
      <c r="D51" s="34">
        <v>7.4</v>
      </c>
      <c r="E51" s="27">
        <v>18</v>
      </c>
      <c r="F51" s="34" t="s">
        <v>419</v>
      </c>
      <c r="G51" s="27" t="s">
        <v>420</v>
      </c>
      <c r="H51" s="35" t="s">
        <v>204</v>
      </c>
    </row>
    <row r="52" spans="1:8" x14ac:dyDescent="0.25">
      <c r="A52" s="10" t="s">
        <v>255</v>
      </c>
      <c r="B52" s="1" t="s">
        <v>256</v>
      </c>
      <c r="C52" s="10" t="s">
        <v>257</v>
      </c>
      <c r="D52" s="34">
        <v>7.4</v>
      </c>
      <c r="E52" s="27">
        <v>18</v>
      </c>
      <c r="F52" s="34" t="s">
        <v>419</v>
      </c>
      <c r="G52" s="27" t="s">
        <v>420</v>
      </c>
      <c r="H52" s="35" t="s">
        <v>204</v>
      </c>
    </row>
    <row r="53" spans="1:8" x14ac:dyDescent="0.25">
      <c r="A53" s="10" t="s">
        <v>258</v>
      </c>
      <c r="B53" s="1" t="s">
        <v>259</v>
      </c>
      <c r="C53" s="10" t="s">
        <v>260</v>
      </c>
      <c r="D53" s="34">
        <v>7.4</v>
      </c>
      <c r="E53" s="27">
        <v>18</v>
      </c>
      <c r="F53" s="34" t="s">
        <v>419</v>
      </c>
      <c r="G53" s="27" t="s">
        <v>420</v>
      </c>
      <c r="H53" s="35" t="s">
        <v>204</v>
      </c>
    </row>
    <row r="54" spans="1:8" x14ac:dyDescent="0.25">
      <c r="A54" s="10" t="s">
        <v>262</v>
      </c>
      <c r="B54" s="1" t="s">
        <v>263</v>
      </c>
      <c r="C54" s="10" t="s">
        <v>264</v>
      </c>
      <c r="D54" s="34">
        <v>7.4</v>
      </c>
      <c r="E54" s="27">
        <v>18</v>
      </c>
      <c r="F54" s="34" t="s">
        <v>419</v>
      </c>
      <c r="G54" s="27" t="s">
        <v>420</v>
      </c>
      <c r="H54" s="35" t="s">
        <v>204</v>
      </c>
    </row>
    <row r="55" spans="1:8" x14ac:dyDescent="0.25">
      <c r="A55" s="10" t="s">
        <v>265</v>
      </c>
      <c r="B55" s="1" t="s">
        <v>266</v>
      </c>
      <c r="C55" s="10" t="s">
        <v>267</v>
      </c>
      <c r="D55" s="34">
        <v>7.4</v>
      </c>
      <c r="E55" s="27">
        <v>18</v>
      </c>
      <c r="F55" s="34" t="s">
        <v>419</v>
      </c>
      <c r="G55" s="27" t="s">
        <v>420</v>
      </c>
      <c r="H55" s="35" t="s">
        <v>204</v>
      </c>
    </row>
    <row r="56" spans="1:8" x14ac:dyDescent="0.25">
      <c r="A56" s="10" t="s">
        <v>268</v>
      </c>
      <c r="B56" s="1" t="s">
        <v>269</v>
      </c>
      <c r="C56" s="10" t="s">
        <v>270</v>
      </c>
      <c r="D56" s="34">
        <v>7.4</v>
      </c>
      <c r="E56" s="27">
        <v>18</v>
      </c>
      <c r="F56" s="34" t="s">
        <v>419</v>
      </c>
      <c r="G56" s="27" t="s">
        <v>420</v>
      </c>
      <c r="H56" s="35" t="s">
        <v>204</v>
      </c>
    </row>
    <row r="57" spans="1:8" x14ac:dyDescent="0.25">
      <c r="A57" s="10" t="s">
        <v>271</v>
      </c>
      <c r="B57" s="1" t="s">
        <v>272</v>
      </c>
      <c r="C57" s="10" t="s">
        <v>273</v>
      </c>
      <c r="D57" s="34">
        <v>7.4</v>
      </c>
      <c r="E57" s="27">
        <v>18</v>
      </c>
      <c r="F57" s="34" t="s">
        <v>419</v>
      </c>
      <c r="G57" s="27" t="s">
        <v>420</v>
      </c>
      <c r="H57" s="35" t="s">
        <v>204</v>
      </c>
    </row>
    <row r="58" spans="1:8" x14ac:dyDescent="0.25">
      <c r="A58" s="10" t="s">
        <v>274</v>
      </c>
      <c r="B58" s="1" t="s">
        <v>275</v>
      </c>
      <c r="C58" s="10" t="s">
        <v>276</v>
      </c>
      <c r="D58" s="34">
        <v>7.4</v>
      </c>
      <c r="E58" s="27">
        <v>18</v>
      </c>
      <c r="F58" s="34" t="s">
        <v>419</v>
      </c>
      <c r="G58" s="27" t="s">
        <v>420</v>
      </c>
      <c r="H58" s="35" t="s">
        <v>204</v>
      </c>
    </row>
    <row r="59" spans="1:8" x14ac:dyDescent="0.25">
      <c r="A59" s="10" t="s">
        <v>277</v>
      </c>
      <c r="B59" s="1" t="s">
        <v>278</v>
      </c>
      <c r="C59" s="10" t="s">
        <v>279</v>
      </c>
      <c r="D59" s="34">
        <v>7.4</v>
      </c>
      <c r="E59" s="27">
        <v>18</v>
      </c>
      <c r="F59" s="34" t="s">
        <v>419</v>
      </c>
      <c r="G59" s="27" t="s">
        <v>420</v>
      </c>
      <c r="H59" s="35" t="s">
        <v>204</v>
      </c>
    </row>
    <row r="60" spans="1:8" x14ac:dyDescent="0.25">
      <c r="A60" s="10" t="s">
        <v>280</v>
      </c>
      <c r="B60" s="1" t="s">
        <v>281</v>
      </c>
      <c r="C60" s="10" t="s">
        <v>282</v>
      </c>
      <c r="D60" s="34">
        <v>7.4</v>
      </c>
      <c r="E60" s="27">
        <v>18</v>
      </c>
      <c r="F60" s="34" t="s">
        <v>419</v>
      </c>
      <c r="G60" s="27" t="s">
        <v>420</v>
      </c>
      <c r="H60" s="35" t="s">
        <v>204</v>
      </c>
    </row>
    <row r="61" spans="1:8" x14ac:dyDescent="0.25">
      <c r="A61" s="10" t="s">
        <v>283</v>
      </c>
      <c r="B61" s="1" t="s">
        <v>284</v>
      </c>
      <c r="C61" s="10" t="s">
        <v>285</v>
      </c>
      <c r="D61" s="34">
        <v>7.4</v>
      </c>
      <c r="E61" s="27">
        <v>18</v>
      </c>
      <c r="F61" s="34" t="s">
        <v>419</v>
      </c>
      <c r="G61" s="27" t="s">
        <v>420</v>
      </c>
      <c r="H61" s="35" t="s">
        <v>204</v>
      </c>
    </row>
    <row r="62" spans="1:8" x14ac:dyDescent="0.25">
      <c r="A62" s="10" t="s">
        <v>286</v>
      </c>
      <c r="B62" s="1" t="s">
        <v>287</v>
      </c>
      <c r="C62" s="10" t="s">
        <v>288</v>
      </c>
      <c r="D62" s="34">
        <v>7.4</v>
      </c>
      <c r="E62" s="27">
        <v>18</v>
      </c>
      <c r="F62" s="34" t="s">
        <v>419</v>
      </c>
      <c r="G62" s="27" t="s">
        <v>420</v>
      </c>
      <c r="H62" s="35" t="s">
        <v>204</v>
      </c>
    </row>
    <row r="63" spans="1:8" x14ac:dyDescent="0.25">
      <c r="A63" s="10" t="s">
        <v>289</v>
      </c>
      <c r="B63" s="1" t="s">
        <v>290</v>
      </c>
      <c r="C63" s="10" t="s">
        <v>291</v>
      </c>
      <c r="D63" s="34">
        <v>7.4</v>
      </c>
      <c r="E63" s="27">
        <v>18</v>
      </c>
      <c r="F63" s="34" t="s">
        <v>419</v>
      </c>
      <c r="G63" s="27" t="s">
        <v>420</v>
      </c>
      <c r="H63" s="35" t="s">
        <v>204</v>
      </c>
    </row>
    <row r="64" spans="1:8" x14ac:dyDescent="0.25">
      <c r="A64" s="10" t="s">
        <v>292</v>
      </c>
      <c r="B64" s="1" t="s">
        <v>293</v>
      </c>
      <c r="C64" s="10" t="s">
        <v>294</v>
      </c>
      <c r="D64" s="34">
        <v>7.4</v>
      </c>
      <c r="E64" s="27">
        <v>18</v>
      </c>
      <c r="F64" s="34" t="s">
        <v>419</v>
      </c>
      <c r="G64" s="27" t="s">
        <v>420</v>
      </c>
      <c r="H64" s="35" t="s">
        <v>204</v>
      </c>
    </row>
    <row r="65" spans="1:8" x14ac:dyDescent="0.25">
      <c r="A65" s="10" t="s">
        <v>296</v>
      </c>
      <c r="B65" s="1" t="s">
        <v>297</v>
      </c>
      <c r="C65" s="10" t="s">
        <v>298</v>
      </c>
      <c r="D65" s="34">
        <v>7.4</v>
      </c>
      <c r="E65" s="27">
        <v>18</v>
      </c>
      <c r="F65" s="34" t="s">
        <v>419</v>
      </c>
      <c r="G65" s="27" t="s">
        <v>420</v>
      </c>
      <c r="H65" s="35" t="s">
        <v>204</v>
      </c>
    </row>
    <row r="66" spans="1:8" x14ac:dyDescent="0.25">
      <c r="A66" s="10" t="s">
        <v>299</v>
      </c>
      <c r="B66" s="1" t="s">
        <v>300</v>
      </c>
      <c r="C66" s="10" t="s">
        <v>301</v>
      </c>
      <c r="D66" s="34">
        <v>7.4</v>
      </c>
      <c r="E66" s="27">
        <v>18</v>
      </c>
      <c r="F66" s="34" t="s">
        <v>419</v>
      </c>
      <c r="G66" s="27" t="s">
        <v>420</v>
      </c>
      <c r="H66" s="35" t="s">
        <v>204</v>
      </c>
    </row>
    <row r="67" spans="1:8" x14ac:dyDescent="0.25">
      <c r="A67" s="10" t="s">
        <v>302</v>
      </c>
      <c r="B67" s="1" t="s">
        <v>303</v>
      </c>
      <c r="C67" s="10" t="s">
        <v>304</v>
      </c>
      <c r="D67" s="34">
        <v>7.4</v>
      </c>
      <c r="E67" s="27">
        <v>18</v>
      </c>
      <c r="F67" s="34" t="s">
        <v>419</v>
      </c>
      <c r="G67" s="27" t="s">
        <v>420</v>
      </c>
      <c r="H67" s="35" t="s">
        <v>204</v>
      </c>
    </row>
    <row r="68" spans="1:8" x14ac:dyDescent="0.25">
      <c r="A68" s="10" t="s">
        <v>305</v>
      </c>
      <c r="B68" s="1" t="s">
        <v>306</v>
      </c>
      <c r="C68" s="10" t="s">
        <v>307</v>
      </c>
      <c r="D68" s="34">
        <v>7.4</v>
      </c>
      <c r="E68" s="27">
        <v>18</v>
      </c>
      <c r="F68" s="34" t="s">
        <v>419</v>
      </c>
      <c r="G68" s="27" t="s">
        <v>420</v>
      </c>
      <c r="H68" s="35" t="s">
        <v>204</v>
      </c>
    </row>
    <row r="69" spans="1:8" x14ac:dyDescent="0.25">
      <c r="A69" s="10" t="s">
        <v>308</v>
      </c>
      <c r="B69" s="1" t="s">
        <v>309</v>
      </c>
      <c r="C69" s="10" t="s">
        <v>310</v>
      </c>
      <c r="D69" s="34">
        <v>7.4</v>
      </c>
      <c r="E69" s="27">
        <v>18</v>
      </c>
      <c r="F69" s="34" t="s">
        <v>419</v>
      </c>
      <c r="G69" s="27" t="s">
        <v>420</v>
      </c>
      <c r="H69" s="35" t="s">
        <v>204</v>
      </c>
    </row>
    <row r="70" spans="1:8" x14ac:dyDescent="0.25">
      <c r="A70" s="10" t="s">
        <v>311</v>
      </c>
      <c r="B70" s="1" t="s">
        <v>312</v>
      </c>
      <c r="C70" s="10" t="s">
        <v>313</v>
      </c>
      <c r="D70" s="34">
        <v>7.4</v>
      </c>
      <c r="E70" s="27">
        <v>18</v>
      </c>
      <c r="F70" s="34" t="s">
        <v>419</v>
      </c>
      <c r="G70" s="27" t="s">
        <v>420</v>
      </c>
      <c r="H70" s="35" t="s">
        <v>204</v>
      </c>
    </row>
    <row r="71" spans="1:8" x14ac:dyDescent="0.25">
      <c r="A71" s="10" t="s">
        <v>315</v>
      </c>
      <c r="B71" s="1" t="s">
        <v>316</v>
      </c>
      <c r="C71" s="10" t="s">
        <v>317</v>
      </c>
      <c r="D71" s="34">
        <v>7.4</v>
      </c>
      <c r="E71" s="27">
        <v>18</v>
      </c>
      <c r="F71" s="34" t="s">
        <v>419</v>
      </c>
      <c r="G71" s="27" t="s">
        <v>420</v>
      </c>
      <c r="H71" s="35" t="s">
        <v>204</v>
      </c>
    </row>
    <row r="72" spans="1:8" x14ac:dyDescent="0.25">
      <c r="A72" s="10" t="s">
        <v>318</v>
      </c>
      <c r="B72" s="1" t="s">
        <v>319</v>
      </c>
      <c r="C72" s="10" t="s">
        <v>320</v>
      </c>
      <c r="D72" s="34">
        <v>7.4</v>
      </c>
      <c r="E72" s="27">
        <v>18</v>
      </c>
      <c r="F72" s="34" t="s">
        <v>419</v>
      </c>
      <c r="G72" s="27" t="s">
        <v>420</v>
      </c>
      <c r="H72" s="35" t="s">
        <v>204</v>
      </c>
    </row>
    <row r="73" spans="1:8" ht="18" x14ac:dyDescent="0.25">
      <c r="A73" s="10" t="s">
        <v>321</v>
      </c>
      <c r="B73" s="1" t="s">
        <v>322</v>
      </c>
      <c r="C73" s="10" t="s">
        <v>425</v>
      </c>
      <c r="D73" s="34">
        <v>7.4</v>
      </c>
      <c r="E73" s="27">
        <v>18</v>
      </c>
      <c r="F73" s="34" t="s">
        <v>419</v>
      </c>
      <c r="G73" s="27" t="s">
        <v>420</v>
      </c>
      <c r="H73" s="35" t="s">
        <v>323</v>
      </c>
    </row>
    <row r="74" spans="1:8" ht="18" x14ac:dyDescent="0.25">
      <c r="A74" s="10" t="s">
        <v>324</v>
      </c>
      <c r="B74" s="1" t="s">
        <v>325</v>
      </c>
      <c r="C74" s="10" t="s">
        <v>426</v>
      </c>
      <c r="D74" s="34">
        <v>7.4</v>
      </c>
      <c r="E74" s="27">
        <v>18</v>
      </c>
      <c r="F74" s="34" t="s">
        <v>419</v>
      </c>
      <c r="G74" s="27" t="s">
        <v>420</v>
      </c>
      <c r="H74" s="35" t="s">
        <v>323</v>
      </c>
    </row>
    <row r="75" spans="1:8" ht="18" x14ac:dyDescent="0.25">
      <c r="A75" s="10" t="s">
        <v>326</v>
      </c>
      <c r="B75" s="1" t="s">
        <v>327</v>
      </c>
      <c r="C75" s="10" t="s">
        <v>427</v>
      </c>
      <c r="D75" s="34">
        <v>7.4</v>
      </c>
      <c r="E75" s="27">
        <v>18</v>
      </c>
      <c r="F75" s="34" t="s">
        <v>419</v>
      </c>
      <c r="G75" s="27" t="s">
        <v>420</v>
      </c>
      <c r="H75" s="35" t="s">
        <v>323</v>
      </c>
    </row>
    <row r="76" spans="1:8" ht="18" x14ac:dyDescent="0.25">
      <c r="A76" s="10" t="s">
        <v>328</v>
      </c>
      <c r="B76" s="1" t="s">
        <v>329</v>
      </c>
      <c r="C76" s="10" t="s">
        <v>428</v>
      </c>
      <c r="D76" s="34">
        <v>7.4</v>
      </c>
      <c r="E76" s="27">
        <v>18</v>
      </c>
      <c r="F76" s="34" t="s">
        <v>419</v>
      </c>
      <c r="G76" s="27" t="s">
        <v>420</v>
      </c>
      <c r="H76" s="35" t="s">
        <v>323</v>
      </c>
    </row>
    <row r="77" spans="1:8" ht="18" x14ac:dyDescent="0.25">
      <c r="A77" s="10" t="s">
        <v>330</v>
      </c>
      <c r="B77" s="1" t="s">
        <v>331</v>
      </c>
      <c r="C77" s="10" t="s">
        <v>429</v>
      </c>
      <c r="D77" s="34">
        <v>7.4</v>
      </c>
      <c r="E77" s="27">
        <v>18</v>
      </c>
      <c r="F77" s="34" t="s">
        <v>419</v>
      </c>
      <c r="G77" s="27" t="s">
        <v>420</v>
      </c>
      <c r="H77" s="35" t="s">
        <v>323</v>
      </c>
    </row>
    <row r="78" spans="1:8" ht="18" x14ac:dyDescent="0.25">
      <c r="A78" s="10" t="s">
        <v>332</v>
      </c>
      <c r="B78" s="1" t="s">
        <v>333</v>
      </c>
      <c r="C78" s="10" t="s">
        <v>430</v>
      </c>
      <c r="D78" s="34">
        <v>7.4</v>
      </c>
      <c r="E78" s="27">
        <v>18</v>
      </c>
      <c r="F78" s="34" t="s">
        <v>419</v>
      </c>
      <c r="G78" s="27" t="s">
        <v>420</v>
      </c>
      <c r="H78" s="35" t="s">
        <v>323</v>
      </c>
    </row>
    <row r="79" spans="1:8" ht="18" x14ac:dyDescent="0.25">
      <c r="A79" s="10" t="s">
        <v>334</v>
      </c>
      <c r="B79" s="1" t="s">
        <v>335</v>
      </c>
      <c r="C79" s="10" t="s">
        <v>429</v>
      </c>
      <c r="D79" s="34">
        <v>7.4</v>
      </c>
      <c r="E79" s="27">
        <v>18</v>
      </c>
      <c r="F79" s="34" t="s">
        <v>419</v>
      </c>
      <c r="G79" s="27" t="s">
        <v>420</v>
      </c>
      <c r="H79" s="35" t="s">
        <v>323</v>
      </c>
    </row>
    <row r="80" spans="1:8" ht="18" x14ac:dyDescent="0.25">
      <c r="A80" s="10" t="s">
        <v>336</v>
      </c>
      <c r="B80" s="1" t="s">
        <v>337</v>
      </c>
      <c r="C80" s="10" t="s">
        <v>431</v>
      </c>
      <c r="D80" s="34">
        <v>7.4</v>
      </c>
      <c r="E80" s="27">
        <v>18</v>
      </c>
      <c r="F80" s="34" t="s">
        <v>419</v>
      </c>
      <c r="G80" s="27" t="s">
        <v>420</v>
      </c>
      <c r="H80" s="35" t="s">
        <v>323</v>
      </c>
    </row>
    <row r="81" spans="1:8" ht="18" x14ac:dyDescent="0.25">
      <c r="A81" s="10" t="s">
        <v>338</v>
      </c>
      <c r="B81" s="1" t="s">
        <v>339</v>
      </c>
      <c r="C81" s="10" t="s">
        <v>432</v>
      </c>
      <c r="D81" s="34">
        <v>7.4</v>
      </c>
      <c r="E81" s="27">
        <v>18</v>
      </c>
      <c r="F81" s="34" t="s">
        <v>419</v>
      </c>
      <c r="G81" s="27" t="s">
        <v>420</v>
      </c>
      <c r="H81" s="35" t="s">
        <v>323</v>
      </c>
    </row>
    <row r="82" spans="1:8" ht="18" x14ac:dyDescent="0.25">
      <c r="A82" s="10" t="s">
        <v>340</v>
      </c>
      <c r="B82" s="1" t="s">
        <v>341</v>
      </c>
      <c r="C82" s="10" t="s">
        <v>433</v>
      </c>
      <c r="D82" s="34">
        <v>7.4</v>
      </c>
      <c r="E82" s="27">
        <v>18</v>
      </c>
      <c r="F82" s="34" t="s">
        <v>419</v>
      </c>
      <c r="G82" s="27" t="s">
        <v>420</v>
      </c>
      <c r="H82" s="35" t="s">
        <v>323</v>
      </c>
    </row>
    <row r="83" spans="1:8" ht="18" x14ac:dyDescent="0.25">
      <c r="A83" s="10" t="s">
        <v>343</v>
      </c>
      <c r="B83" s="1" t="s">
        <v>344</v>
      </c>
      <c r="C83" s="10" t="s">
        <v>428</v>
      </c>
      <c r="D83" s="34">
        <v>7.4</v>
      </c>
      <c r="E83" s="27">
        <v>18</v>
      </c>
      <c r="F83" s="34" t="s">
        <v>419</v>
      </c>
      <c r="G83" s="27" t="s">
        <v>420</v>
      </c>
      <c r="H83" s="35" t="s">
        <v>323</v>
      </c>
    </row>
    <row r="84" spans="1:8" ht="18" x14ac:dyDescent="0.25">
      <c r="A84" s="10" t="s">
        <v>345</v>
      </c>
      <c r="B84" s="1" t="s">
        <v>346</v>
      </c>
      <c r="C84" s="10" t="s">
        <v>434</v>
      </c>
      <c r="D84" s="34">
        <v>7.4</v>
      </c>
      <c r="E84" s="27">
        <v>18</v>
      </c>
      <c r="F84" s="34" t="s">
        <v>419</v>
      </c>
      <c r="G84" s="27" t="s">
        <v>420</v>
      </c>
      <c r="H84" s="35" t="s">
        <v>323</v>
      </c>
    </row>
    <row r="85" spans="1:8" ht="18" x14ac:dyDescent="0.25">
      <c r="A85" s="10" t="s">
        <v>347</v>
      </c>
      <c r="B85" s="1" t="s">
        <v>348</v>
      </c>
      <c r="C85" s="10" t="s">
        <v>435</v>
      </c>
      <c r="D85" s="34">
        <v>7.4</v>
      </c>
      <c r="E85" s="27">
        <v>18</v>
      </c>
      <c r="F85" s="34" t="s">
        <v>419</v>
      </c>
      <c r="G85" s="27" t="s">
        <v>420</v>
      </c>
      <c r="H85" s="35" t="s">
        <v>323</v>
      </c>
    </row>
    <row r="86" spans="1:8" ht="18" x14ac:dyDescent="0.25">
      <c r="A86" s="10" t="s">
        <v>349</v>
      </c>
      <c r="B86" s="1" t="s">
        <v>350</v>
      </c>
      <c r="C86" s="10" t="s">
        <v>436</v>
      </c>
      <c r="D86" s="34">
        <v>7.4</v>
      </c>
      <c r="E86" s="27">
        <v>18</v>
      </c>
      <c r="F86" s="34" t="s">
        <v>419</v>
      </c>
      <c r="G86" s="27" t="s">
        <v>420</v>
      </c>
      <c r="H86" s="35" t="s">
        <v>323</v>
      </c>
    </row>
    <row r="87" spans="1:8" ht="18" x14ac:dyDescent="0.25">
      <c r="A87" s="10" t="s">
        <v>351</v>
      </c>
      <c r="B87" s="1" t="s">
        <v>352</v>
      </c>
      <c r="C87" s="10" t="s">
        <v>437</v>
      </c>
      <c r="D87" s="34">
        <v>7.4</v>
      </c>
      <c r="E87" s="27">
        <v>18</v>
      </c>
      <c r="F87" s="34" t="s">
        <v>419</v>
      </c>
      <c r="G87" s="27" t="s">
        <v>420</v>
      </c>
      <c r="H87" s="35" t="s">
        <v>323</v>
      </c>
    </row>
    <row r="88" spans="1:8" ht="18" x14ac:dyDescent="0.25">
      <c r="A88" s="10" t="s">
        <v>353</v>
      </c>
      <c r="B88" s="1" t="s">
        <v>354</v>
      </c>
      <c r="C88" s="10" t="s">
        <v>438</v>
      </c>
      <c r="D88" s="34">
        <v>7.4</v>
      </c>
      <c r="E88" s="27">
        <v>18</v>
      </c>
      <c r="F88" s="34" t="s">
        <v>419</v>
      </c>
      <c r="G88" s="27" t="s">
        <v>420</v>
      </c>
      <c r="H88" s="35" t="s">
        <v>323</v>
      </c>
    </row>
    <row r="89" spans="1:8" ht="18" x14ac:dyDescent="0.25">
      <c r="A89" s="10" t="s">
        <v>355</v>
      </c>
      <c r="B89" s="1" t="s">
        <v>356</v>
      </c>
      <c r="C89" s="10" t="s">
        <v>439</v>
      </c>
      <c r="D89" s="34">
        <v>7.4</v>
      </c>
      <c r="E89" s="27">
        <v>18</v>
      </c>
      <c r="F89" s="34" t="s">
        <v>419</v>
      </c>
      <c r="G89" s="27" t="s">
        <v>420</v>
      </c>
      <c r="H89" s="35" t="s">
        <v>323</v>
      </c>
    </row>
    <row r="90" spans="1:8" ht="18" x14ac:dyDescent="0.25">
      <c r="A90" s="10" t="s">
        <v>357</v>
      </c>
      <c r="B90" s="1" t="s">
        <v>358</v>
      </c>
      <c r="C90" s="10" t="s">
        <v>440</v>
      </c>
      <c r="D90" s="34">
        <v>7.4</v>
      </c>
      <c r="E90" s="27">
        <v>18</v>
      </c>
      <c r="F90" s="34" t="s">
        <v>419</v>
      </c>
      <c r="G90" s="27" t="s">
        <v>420</v>
      </c>
      <c r="H90" s="35" t="s">
        <v>323</v>
      </c>
    </row>
    <row r="91" spans="1:8" ht="18" x14ac:dyDescent="0.25">
      <c r="A91" s="10" t="s">
        <v>359</v>
      </c>
      <c r="B91" s="1" t="s">
        <v>360</v>
      </c>
      <c r="C91" s="10" t="s">
        <v>441</v>
      </c>
      <c r="D91" s="34">
        <v>7.4</v>
      </c>
      <c r="E91" s="27">
        <v>18</v>
      </c>
      <c r="F91" s="34" t="s">
        <v>419</v>
      </c>
      <c r="G91" s="27" t="s">
        <v>420</v>
      </c>
      <c r="H91" s="35" t="s">
        <v>323</v>
      </c>
    </row>
    <row r="92" spans="1:8" ht="18" x14ac:dyDescent="0.25">
      <c r="A92" s="10" t="s">
        <v>361</v>
      </c>
      <c r="B92" s="1" t="s">
        <v>362</v>
      </c>
      <c r="C92" s="10" t="s">
        <v>442</v>
      </c>
      <c r="D92" s="34">
        <v>7.4</v>
      </c>
      <c r="E92" s="27">
        <v>18</v>
      </c>
      <c r="F92" s="34" t="s">
        <v>419</v>
      </c>
      <c r="G92" s="27" t="s">
        <v>420</v>
      </c>
      <c r="H92" s="35" t="s">
        <v>323</v>
      </c>
    </row>
    <row r="93" spans="1:8" ht="18" x14ac:dyDescent="0.25">
      <c r="A93" s="10" t="s">
        <v>363</v>
      </c>
      <c r="B93" s="1" t="s">
        <v>364</v>
      </c>
      <c r="C93" s="10" t="s">
        <v>443</v>
      </c>
      <c r="D93" s="34">
        <v>7.4</v>
      </c>
      <c r="E93" s="27">
        <v>18</v>
      </c>
      <c r="F93" s="34" t="s">
        <v>419</v>
      </c>
      <c r="G93" s="27" t="s">
        <v>420</v>
      </c>
      <c r="H93" s="35" t="s">
        <v>323</v>
      </c>
    </row>
    <row r="94" spans="1:8" ht="18" x14ac:dyDescent="0.25">
      <c r="A94" s="10" t="s">
        <v>365</v>
      </c>
      <c r="B94" s="1" t="s">
        <v>366</v>
      </c>
      <c r="C94" s="10" t="s">
        <v>444</v>
      </c>
      <c r="D94" s="34">
        <v>7.4</v>
      </c>
      <c r="E94" s="27">
        <v>18</v>
      </c>
      <c r="F94" s="34" t="s">
        <v>419</v>
      </c>
      <c r="G94" s="27" t="s">
        <v>420</v>
      </c>
      <c r="H94" s="35" t="s">
        <v>323</v>
      </c>
    </row>
    <row r="95" spans="1:8" ht="18" x14ac:dyDescent="0.25">
      <c r="A95" s="10" t="s">
        <v>367</v>
      </c>
      <c r="B95" s="1" t="s">
        <v>368</v>
      </c>
      <c r="C95" s="10" t="s">
        <v>437</v>
      </c>
      <c r="D95" s="34">
        <v>7.4</v>
      </c>
      <c r="E95" s="27">
        <v>18</v>
      </c>
      <c r="F95" s="34" t="s">
        <v>419</v>
      </c>
      <c r="G95" s="27" t="s">
        <v>420</v>
      </c>
      <c r="H95" s="35" t="s">
        <v>323</v>
      </c>
    </row>
    <row r="96" spans="1:8" ht="18" x14ac:dyDescent="0.25">
      <c r="A96" s="10" t="s">
        <v>369</v>
      </c>
      <c r="B96" s="1" t="s">
        <v>370</v>
      </c>
      <c r="C96" s="10" t="s">
        <v>445</v>
      </c>
      <c r="D96" s="34">
        <v>7.4</v>
      </c>
      <c r="E96" s="27">
        <v>18</v>
      </c>
      <c r="F96" s="34" t="s">
        <v>419</v>
      </c>
      <c r="G96" s="27" t="s">
        <v>420</v>
      </c>
      <c r="H96" s="35" t="s">
        <v>323</v>
      </c>
    </row>
    <row r="97" spans="1:8" ht="18" x14ac:dyDescent="0.25">
      <c r="A97" s="10" t="s">
        <v>371</v>
      </c>
      <c r="B97" s="1" t="s">
        <v>372</v>
      </c>
      <c r="C97" s="10" t="s">
        <v>444</v>
      </c>
      <c r="D97" s="34">
        <v>7.4</v>
      </c>
      <c r="E97" s="27">
        <v>18</v>
      </c>
      <c r="F97" s="34" t="s">
        <v>419</v>
      </c>
      <c r="G97" s="27" t="s">
        <v>420</v>
      </c>
      <c r="H97" s="35" t="s">
        <v>323</v>
      </c>
    </row>
    <row r="98" spans="1:8" x14ac:dyDescent="0.25">
      <c r="A98" s="10" t="s">
        <v>373</v>
      </c>
      <c r="B98" s="1" t="s">
        <v>374</v>
      </c>
      <c r="C98" s="10" t="s">
        <v>375</v>
      </c>
      <c r="D98" s="34">
        <v>7.4</v>
      </c>
      <c r="E98" s="27">
        <v>18</v>
      </c>
      <c r="F98" s="34" t="s">
        <v>419</v>
      </c>
      <c r="G98" s="27" t="s">
        <v>446</v>
      </c>
      <c r="H98" s="35" t="s">
        <v>376</v>
      </c>
    </row>
    <row r="99" spans="1:8" x14ac:dyDescent="0.25">
      <c r="A99" s="10" t="s">
        <v>378</v>
      </c>
      <c r="B99" s="1" t="s">
        <v>379</v>
      </c>
      <c r="C99" s="10" t="s">
        <v>380</v>
      </c>
      <c r="D99" s="34">
        <v>7.4</v>
      </c>
      <c r="E99" s="27">
        <v>18</v>
      </c>
      <c r="F99" s="34" t="s">
        <v>419</v>
      </c>
      <c r="G99" s="27" t="s">
        <v>446</v>
      </c>
      <c r="H99" s="35" t="s">
        <v>376</v>
      </c>
    </row>
    <row r="100" spans="1:8" x14ac:dyDescent="0.25">
      <c r="A100" s="10" t="s">
        <v>381</v>
      </c>
      <c r="B100" s="1" t="s">
        <v>382</v>
      </c>
      <c r="C100" s="10" t="s">
        <v>383</v>
      </c>
      <c r="D100" s="34">
        <v>7.4</v>
      </c>
      <c r="E100" s="27">
        <v>18</v>
      </c>
      <c r="F100" s="34" t="s">
        <v>419</v>
      </c>
      <c r="G100" s="27" t="s">
        <v>446</v>
      </c>
      <c r="H100" s="35" t="s">
        <v>376</v>
      </c>
    </row>
    <row r="101" spans="1:8" x14ac:dyDescent="0.25">
      <c r="A101" s="10" t="s">
        <v>384</v>
      </c>
      <c r="B101" s="1" t="s">
        <v>385</v>
      </c>
      <c r="C101" s="10" t="s">
        <v>386</v>
      </c>
      <c r="D101" s="34">
        <v>7.4</v>
      </c>
      <c r="E101" s="27">
        <v>18</v>
      </c>
      <c r="F101" s="34" t="s">
        <v>419</v>
      </c>
      <c r="G101" s="27" t="s">
        <v>446</v>
      </c>
      <c r="H101" s="35" t="s">
        <v>376</v>
      </c>
    </row>
    <row r="102" spans="1:8" x14ac:dyDescent="0.25">
      <c r="A102" s="10" t="s">
        <v>387</v>
      </c>
      <c r="B102" s="1" t="s">
        <v>388</v>
      </c>
      <c r="C102" s="10" t="s">
        <v>389</v>
      </c>
      <c r="D102" s="34">
        <v>7.4</v>
      </c>
      <c r="E102" s="27">
        <v>18</v>
      </c>
      <c r="F102" s="34" t="s">
        <v>419</v>
      </c>
      <c r="G102" s="27" t="s">
        <v>446</v>
      </c>
      <c r="H102" s="35" t="s">
        <v>376</v>
      </c>
    </row>
    <row r="103" spans="1:8" x14ac:dyDescent="0.25">
      <c r="A103" s="10" t="s">
        <v>390</v>
      </c>
      <c r="B103" s="1" t="s">
        <v>391</v>
      </c>
      <c r="C103" s="10" t="s">
        <v>392</v>
      </c>
      <c r="D103" s="34">
        <v>7.4</v>
      </c>
      <c r="E103" s="27">
        <v>18</v>
      </c>
      <c r="F103" s="34" t="s">
        <v>419</v>
      </c>
      <c r="G103" s="27" t="s">
        <v>446</v>
      </c>
      <c r="H103" s="35" t="s">
        <v>376</v>
      </c>
    </row>
    <row r="104" spans="1:8" x14ac:dyDescent="0.25">
      <c r="A104" s="10" t="s">
        <v>393</v>
      </c>
      <c r="B104" s="1" t="s">
        <v>394</v>
      </c>
      <c r="C104" s="10" t="s">
        <v>395</v>
      </c>
      <c r="D104" s="34">
        <v>7.4</v>
      </c>
      <c r="E104" s="27">
        <v>18</v>
      </c>
      <c r="F104" s="34" t="s">
        <v>419</v>
      </c>
      <c r="G104" s="27" t="s">
        <v>446</v>
      </c>
      <c r="H104" s="35" t="s">
        <v>376</v>
      </c>
    </row>
    <row r="105" spans="1:8" x14ac:dyDescent="0.25">
      <c r="A105" s="10" t="s">
        <v>396</v>
      </c>
      <c r="B105" s="1" t="s">
        <v>397</v>
      </c>
      <c r="C105" s="10" t="s">
        <v>398</v>
      </c>
      <c r="D105" s="34">
        <v>7.4</v>
      </c>
      <c r="E105" s="27">
        <v>18</v>
      </c>
      <c r="F105" s="34" t="s">
        <v>419</v>
      </c>
      <c r="G105" s="27" t="s">
        <v>446</v>
      </c>
      <c r="H105" s="35" t="s">
        <v>376</v>
      </c>
    </row>
    <row r="106" spans="1:8" x14ac:dyDescent="0.25">
      <c r="A106" s="10" t="s">
        <v>399</v>
      </c>
      <c r="B106" s="1" t="s">
        <v>400</v>
      </c>
      <c r="C106" s="10" t="s">
        <v>401</v>
      </c>
      <c r="D106" s="34">
        <v>7.4</v>
      </c>
      <c r="E106" s="27">
        <v>18</v>
      </c>
      <c r="F106" s="34" t="s">
        <v>419</v>
      </c>
      <c r="G106" s="27" t="s">
        <v>446</v>
      </c>
      <c r="H106" s="35" t="s">
        <v>376</v>
      </c>
    </row>
    <row r="107" spans="1:8" x14ac:dyDescent="0.25">
      <c r="A107" s="10" t="s">
        <v>402</v>
      </c>
      <c r="B107" s="1" t="s">
        <v>403</v>
      </c>
      <c r="C107" s="10" t="s">
        <v>404</v>
      </c>
      <c r="D107" s="34">
        <v>7.4</v>
      </c>
      <c r="E107" s="27">
        <v>18</v>
      </c>
      <c r="F107" s="34" t="s">
        <v>419</v>
      </c>
      <c r="G107" s="27" t="s">
        <v>446</v>
      </c>
      <c r="H107" s="35" t="s">
        <v>376</v>
      </c>
    </row>
    <row r="108" spans="1:8" x14ac:dyDescent="0.25">
      <c r="A108" s="10" t="s">
        <v>405</v>
      </c>
      <c r="B108" s="1" t="s">
        <v>406</v>
      </c>
      <c r="C108" s="10" t="s">
        <v>407</v>
      </c>
      <c r="D108" s="34">
        <v>7.4</v>
      </c>
      <c r="E108" s="27">
        <v>18</v>
      </c>
      <c r="F108" s="34" t="s">
        <v>419</v>
      </c>
      <c r="G108" s="27" t="s">
        <v>446</v>
      </c>
      <c r="H108" s="35" t="s">
        <v>376</v>
      </c>
    </row>
    <row r="109" spans="1:8" x14ac:dyDescent="0.25">
      <c r="A109" s="13" t="s">
        <v>408</v>
      </c>
      <c r="B109" s="14" t="s">
        <v>409</v>
      </c>
      <c r="C109" s="13" t="s">
        <v>410</v>
      </c>
      <c r="D109" s="17">
        <v>7.4</v>
      </c>
      <c r="E109" s="29">
        <v>18</v>
      </c>
      <c r="F109" s="17" t="s">
        <v>419</v>
      </c>
      <c r="G109" s="29" t="s">
        <v>446</v>
      </c>
      <c r="H109" s="36" t="s">
        <v>376</v>
      </c>
    </row>
    <row r="110" spans="1:8" x14ac:dyDescent="0.25">
      <c r="A110" s="11" t="s">
        <v>412</v>
      </c>
      <c r="B110" s="1"/>
      <c r="C110" s="1"/>
      <c r="D110" s="1"/>
      <c r="E110" s="1"/>
      <c r="F110" s="1"/>
      <c r="G110" s="1"/>
      <c r="H110" s="1"/>
    </row>
  </sheetData>
  <mergeCells count="6">
    <mergeCell ref="A1:H1"/>
    <mergeCell ref="A2:A3"/>
    <mergeCell ref="B2:B3"/>
    <mergeCell ref="C2:C3"/>
    <mergeCell ref="D2:G2"/>
    <mergeCell ref="H2: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0E52-72C4-474D-8B55-7ED40A1977A5}">
  <dimension ref="A1:H111"/>
  <sheetViews>
    <sheetView workbookViewId="0">
      <selection activeCell="F2" sqref="F2:H3"/>
    </sheetView>
  </sheetViews>
  <sheetFormatPr defaultRowHeight="15" x14ac:dyDescent="0.25"/>
  <cols>
    <col min="1" max="1" width="25.7109375" customWidth="1"/>
    <col min="2" max="2" width="11.42578125" bestFit="1" customWidth="1"/>
    <col min="3" max="3" width="13.85546875" customWidth="1"/>
    <col min="4" max="4" width="24.85546875" customWidth="1"/>
    <col min="5" max="5" width="19.85546875" bestFit="1" customWidth="1"/>
    <col min="7" max="7" width="15.140625" bestFit="1" customWidth="1"/>
    <col min="8" max="8" width="14.85546875" bestFit="1" customWidth="1"/>
  </cols>
  <sheetData>
    <row r="1" spans="1:8" x14ac:dyDescent="0.25">
      <c r="A1" s="50" t="s">
        <v>592</v>
      </c>
      <c r="B1" s="50"/>
      <c r="C1" s="50"/>
      <c r="D1" s="50"/>
      <c r="E1" s="50"/>
      <c r="F1" s="50"/>
      <c r="G1" s="50"/>
      <c r="H1" s="50"/>
    </row>
    <row r="2" spans="1:8" ht="18" customHeight="1" x14ac:dyDescent="0.25">
      <c r="A2" s="62" t="s">
        <v>106</v>
      </c>
      <c r="B2" s="62" t="s">
        <v>107</v>
      </c>
      <c r="C2" s="64" t="s">
        <v>619</v>
      </c>
      <c r="D2" s="64" t="s">
        <v>620</v>
      </c>
      <c r="E2" s="62" t="s">
        <v>108</v>
      </c>
      <c r="F2" s="62" t="s">
        <v>109</v>
      </c>
      <c r="G2" s="64" t="s">
        <v>618</v>
      </c>
      <c r="H2" s="66" t="s">
        <v>621</v>
      </c>
    </row>
    <row r="3" spans="1:8" ht="18" customHeight="1" x14ac:dyDescent="0.25">
      <c r="A3" s="63"/>
      <c r="B3" s="63"/>
      <c r="C3" s="65"/>
      <c r="D3" s="65"/>
      <c r="E3" s="63"/>
      <c r="F3" s="63"/>
      <c r="G3" s="65"/>
      <c r="H3" s="71"/>
    </row>
    <row r="4" spans="1:8" x14ac:dyDescent="0.25">
      <c r="A4" s="6" t="s">
        <v>110</v>
      </c>
      <c r="B4" s="25" t="s">
        <v>111</v>
      </c>
      <c r="C4" s="25">
        <v>10.54</v>
      </c>
      <c r="D4" s="25" t="s">
        <v>112</v>
      </c>
      <c r="E4" s="25" t="s">
        <v>113</v>
      </c>
      <c r="F4" s="42">
        <v>3.22</v>
      </c>
      <c r="G4" s="26">
        <v>6.2700000000000004E-3</v>
      </c>
      <c r="H4" s="26">
        <v>2.7099999999999999E-2</v>
      </c>
    </row>
    <row r="5" spans="1:8" x14ac:dyDescent="0.25">
      <c r="A5" s="10" t="s">
        <v>114</v>
      </c>
      <c r="B5" s="27" t="s">
        <v>115</v>
      </c>
      <c r="C5" s="27">
        <v>26.68</v>
      </c>
      <c r="D5" s="27" t="s">
        <v>116</v>
      </c>
      <c r="E5" s="27" t="s">
        <v>113</v>
      </c>
      <c r="F5" s="41">
        <v>5.9</v>
      </c>
      <c r="G5" s="28">
        <v>6.7700000000000004E-6</v>
      </c>
      <c r="H5" s="28">
        <v>5.4500000000000002E-4</v>
      </c>
    </row>
    <row r="6" spans="1:8" x14ac:dyDescent="0.25">
      <c r="A6" s="10" t="s">
        <v>117</v>
      </c>
      <c r="B6" s="27" t="s">
        <v>118</v>
      </c>
      <c r="C6" s="27">
        <v>3.67</v>
      </c>
      <c r="D6" s="27" t="s">
        <v>119</v>
      </c>
      <c r="E6" s="27" t="s">
        <v>113</v>
      </c>
      <c r="F6" s="41">
        <v>4.6399999999999997</v>
      </c>
      <c r="G6" s="28">
        <v>3.4099999999999999E-4</v>
      </c>
      <c r="H6" s="28">
        <v>5.0200000000000002E-7</v>
      </c>
    </row>
    <row r="7" spans="1:8" x14ac:dyDescent="0.25">
      <c r="A7" s="10" t="s">
        <v>120</v>
      </c>
      <c r="B7" s="27" t="s">
        <v>121</v>
      </c>
      <c r="C7" s="27">
        <v>2.58</v>
      </c>
      <c r="D7" s="27" t="s">
        <v>122</v>
      </c>
      <c r="E7" s="27" t="s">
        <v>113</v>
      </c>
      <c r="F7" s="41">
        <v>2.68</v>
      </c>
      <c r="G7" s="28">
        <v>2.7699999999999999E-3</v>
      </c>
      <c r="H7" s="28">
        <v>7.5500000000000003E-4</v>
      </c>
    </row>
    <row r="8" spans="1:8" x14ac:dyDescent="0.25">
      <c r="A8" s="10" t="s">
        <v>123</v>
      </c>
      <c r="B8" s="27" t="s">
        <v>124</v>
      </c>
      <c r="C8" s="27">
        <v>1.72</v>
      </c>
      <c r="D8" s="27" t="s">
        <v>125</v>
      </c>
      <c r="E8" s="27" t="s">
        <v>113</v>
      </c>
      <c r="F8" s="41">
        <v>8.35</v>
      </c>
      <c r="G8" s="28">
        <v>3.7200000000000002E-3</v>
      </c>
      <c r="H8" s="28">
        <v>2.9399999999999998E-6</v>
      </c>
    </row>
    <row r="9" spans="1:8" x14ac:dyDescent="0.25">
      <c r="A9" s="10" t="s">
        <v>126</v>
      </c>
      <c r="B9" s="27" t="s">
        <v>127</v>
      </c>
      <c r="C9" s="27">
        <v>2.38</v>
      </c>
      <c r="D9" s="27" t="s">
        <v>128</v>
      </c>
      <c r="E9" s="27" t="s">
        <v>113</v>
      </c>
      <c r="F9" s="41">
        <v>3.74</v>
      </c>
      <c r="G9" s="28">
        <v>1.94E-4</v>
      </c>
      <c r="H9" s="28">
        <v>2.8300000000000001E-3</v>
      </c>
    </row>
    <row r="10" spans="1:8" x14ac:dyDescent="0.25">
      <c r="A10" s="10" t="s">
        <v>129</v>
      </c>
      <c r="B10" s="27" t="s">
        <v>130</v>
      </c>
      <c r="C10" s="27">
        <v>4.2300000000000004</v>
      </c>
      <c r="D10" s="27" t="s">
        <v>131</v>
      </c>
      <c r="E10" s="27" t="s">
        <v>113</v>
      </c>
      <c r="F10" s="41">
        <v>3.79</v>
      </c>
      <c r="G10" s="28">
        <v>1.42E-5</v>
      </c>
      <c r="H10" s="28">
        <v>6.0799999999999997E-10</v>
      </c>
    </row>
    <row r="11" spans="1:8" x14ac:dyDescent="0.25">
      <c r="A11" s="10" t="s">
        <v>132</v>
      </c>
      <c r="B11" s="27" t="s">
        <v>133</v>
      </c>
      <c r="C11" s="27">
        <v>5.4</v>
      </c>
      <c r="D11" s="27" t="s">
        <v>134</v>
      </c>
      <c r="E11" s="27" t="s">
        <v>113</v>
      </c>
      <c r="F11" s="41">
        <v>3.29</v>
      </c>
      <c r="G11" s="28">
        <v>2.9100000000000001E-6</v>
      </c>
      <c r="H11" s="28">
        <v>4.4100000000000003E-9</v>
      </c>
    </row>
    <row r="12" spans="1:8" x14ac:dyDescent="0.25">
      <c r="A12" s="10" t="s">
        <v>135</v>
      </c>
      <c r="B12" s="27" t="s">
        <v>136</v>
      </c>
      <c r="C12" s="27">
        <v>9.39</v>
      </c>
      <c r="D12" s="27" t="s">
        <v>137</v>
      </c>
      <c r="E12" s="27" t="s">
        <v>113</v>
      </c>
      <c r="F12" s="41">
        <v>4.21</v>
      </c>
      <c r="G12" s="28">
        <v>2.4899999999999998E-4</v>
      </c>
      <c r="H12" s="28">
        <v>1.3500000000000001E-3</v>
      </c>
    </row>
    <row r="13" spans="1:8" x14ac:dyDescent="0.25">
      <c r="A13" s="10" t="s">
        <v>138</v>
      </c>
      <c r="B13" s="27" t="s">
        <v>139</v>
      </c>
      <c r="C13" s="27">
        <v>7.48</v>
      </c>
      <c r="D13" s="27" t="s">
        <v>140</v>
      </c>
      <c r="E13" s="27" t="s">
        <v>113</v>
      </c>
      <c r="F13" s="41">
        <v>4.45</v>
      </c>
      <c r="G13" s="28">
        <v>9.9599999999999995E-5</v>
      </c>
      <c r="H13" s="28">
        <v>6.6600000000000003E-4</v>
      </c>
    </row>
    <row r="14" spans="1:8" x14ac:dyDescent="0.25">
      <c r="A14" s="10" t="s">
        <v>141</v>
      </c>
      <c r="B14" s="27" t="s">
        <v>142</v>
      </c>
      <c r="C14" s="27">
        <v>9.92</v>
      </c>
      <c r="D14" s="27" t="s">
        <v>143</v>
      </c>
      <c r="E14" s="27" t="s">
        <v>113</v>
      </c>
      <c r="F14" s="41">
        <v>5.12</v>
      </c>
      <c r="G14" s="28">
        <v>9.6900000000000003E-4</v>
      </c>
      <c r="H14" s="28">
        <v>1.1E-4</v>
      </c>
    </row>
    <row r="15" spans="1:8" x14ac:dyDescent="0.25">
      <c r="A15" s="10" t="s">
        <v>144</v>
      </c>
      <c r="B15" s="27" t="s">
        <v>145</v>
      </c>
      <c r="C15" s="27">
        <v>0.74</v>
      </c>
      <c r="D15" s="27" t="s">
        <v>146</v>
      </c>
      <c r="E15" s="27" t="s">
        <v>113</v>
      </c>
      <c r="F15" s="41">
        <v>3.03</v>
      </c>
      <c r="G15" s="28">
        <v>4.3199999999999998E-4</v>
      </c>
      <c r="H15" s="28">
        <v>4.7199999999999999E-8</v>
      </c>
    </row>
    <row r="16" spans="1:8" x14ac:dyDescent="0.25">
      <c r="A16" s="10" t="s">
        <v>147</v>
      </c>
      <c r="B16" s="27" t="s">
        <v>148</v>
      </c>
      <c r="C16" s="27">
        <v>0.14000000000000001</v>
      </c>
      <c r="D16" s="27" t="s">
        <v>149</v>
      </c>
      <c r="E16" s="27" t="s">
        <v>113</v>
      </c>
      <c r="F16" s="41">
        <v>1.67</v>
      </c>
      <c r="G16" s="28">
        <v>6.28E-3</v>
      </c>
      <c r="H16" s="28">
        <v>3.8999999999999999E-4</v>
      </c>
    </row>
    <row r="17" spans="1:8" x14ac:dyDescent="0.25">
      <c r="A17" s="10" t="s">
        <v>150</v>
      </c>
      <c r="B17" s="27" t="s">
        <v>151</v>
      </c>
      <c r="C17" s="27">
        <v>8.61</v>
      </c>
      <c r="D17" s="27" t="s">
        <v>152</v>
      </c>
      <c r="E17" s="27" t="s">
        <v>113</v>
      </c>
      <c r="F17" s="41">
        <v>4.13</v>
      </c>
      <c r="G17" s="28">
        <v>1.5399999999999999E-3</v>
      </c>
      <c r="H17" s="28">
        <v>8.09E-3</v>
      </c>
    </row>
    <row r="18" spans="1:8" x14ac:dyDescent="0.25">
      <c r="A18" s="10" t="s">
        <v>153</v>
      </c>
      <c r="B18" s="27" t="s">
        <v>154</v>
      </c>
      <c r="C18" s="27">
        <v>12.7</v>
      </c>
      <c r="D18" s="27" t="s">
        <v>155</v>
      </c>
      <c r="E18" s="27" t="s">
        <v>113</v>
      </c>
      <c r="F18" s="41">
        <v>3.06</v>
      </c>
      <c r="G18" s="28">
        <v>2.7699999999999999E-2</v>
      </c>
      <c r="H18" s="28">
        <v>0.09</v>
      </c>
    </row>
    <row r="19" spans="1:8" x14ac:dyDescent="0.25">
      <c r="A19" s="10" t="s">
        <v>156</v>
      </c>
      <c r="B19" s="27" t="s">
        <v>157</v>
      </c>
      <c r="C19" s="27">
        <v>12.46</v>
      </c>
      <c r="D19" s="27" t="s">
        <v>158</v>
      </c>
      <c r="E19" s="27" t="s">
        <v>113</v>
      </c>
      <c r="F19" s="41">
        <v>4.01</v>
      </c>
      <c r="G19" s="28">
        <v>3.2400000000000001E-4</v>
      </c>
      <c r="H19" s="28">
        <v>8.09E-3</v>
      </c>
    </row>
    <row r="20" spans="1:8" x14ac:dyDescent="0.25">
      <c r="A20" s="10" t="s">
        <v>159</v>
      </c>
      <c r="B20" s="27" t="s">
        <v>160</v>
      </c>
      <c r="C20" s="27">
        <v>17.84</v>
      </c>
      <c r="D20" s="27" t="s">
        <v>161</v>
      </c>
      <c r="E20" s="27" t="s">
        <v>113</v>
      </c>
      <c r="F20" s="41">
        <v>2.39</v>
      </c>
      <c r="G20" s="28">
        <v>0.191</v>
      </c>
      <c r="H20" s="28">
        <v>8.8999999999999996E-2</v>
      </c>
    </row>
    <row r="21" spans="1:8" x14ac:dyDescent="0.25">
      <c r="A21" s="10" t="s">
        <v>162</v>
      </c>
      <c r="B21" s="27" t="s">
        <v>163</v>
      </c>
      <c r="C21" s="27">
        <v>6.08</v>
      </c>
      <c r="D21" s="27" t="s">
        <v>164</v>
      </c>
      <c r="E21" s="27" t="s">
        <v>113</v>
      </c>
      <c r="F21" s="41">
        <v>5.82</v>
      </c>
      <c r="G21" s="28">
        <v>1.9699999999999999E-4</v>
      </c>
      <c r="H21" s="28">
        <v>9.2299999999999994E-5</v>
      </c>
    </row>
    <row r="22" spans="1:8" x14ac:dyDescent="0.25">
      <c r="A22" s="10" t="s">
        <v>165</v>
      </c>
      <c r="B22" s="27" t="s">
        <v>166</v>
      </c>
      <c r="C22" s="27">
        <v>1.77</v>
      </c>
      <c r="D22" s="27" t="s">
        <v>167</v>
      </c>
      <c r="E22" s="27" t="s">
        <v>113</v>
      </c>
      <c r="F22" s="41">
        <v>1.88</v>
      </c>
      <c r="G22" s="28">
        <v>6.3200000000000006E-2</v>
      </c>
      <c r="H22" s="28">
        <v>7.4600000000000004E-7</v>
      </c>
    </row>
    <row r="23" spans="1:8" x14ac:dyDescent="0.25">
      <c r="A23" s="10" t="s">
        <v>168</v>
      </c>
      <c r="B23" s="27" t="s">
        <v>169</v>
      </c>
      <c r="C23" s="27">
        <v>7.54</v>
      </c>
      <c r="D23" s="27" t="s">
        <v>170</v>
      </c>
      <c r="E23" s="27" t="s">
        <v>113</v>
      </c>
      <c r="F23" s="41">
        <v>2.35</v>
      </c>
      <c r="G23" s="28">
        <v>1.7600000000000001E-2</v>
      </c>
      <c r="H23" s="28">
        <v>1.4600000000000001E-5</v>
      </c>
    </row>
    <row r="24" spans="1:8" x14ac:dyDescent="0.25">
      <c r="A24" s="10" t="s">
        <v>171</v>
      </c>
      <c r="B24" s="27" t="s">
        <v>172</v>
      </c>
      <c r="C24" s="27">
        <v>5.73</v>
      </c>
      <c r="D24" s="27" t="s">
        <v>173</v>
      </c>
      <c r="E24" s="27" t="s">
        <v>113</v>
      </c>
      <c r="F24" s="41">
        <v>3.48</v>
      </c>
      <c r="G24" s="28">
        <v>1.06E-3</v>
      </c>
      <c r="H24" s="28">
        <v>6.1999999999999999E-8</v>
      </c>
    </row>
    <row r="25" spans="1:8" x14ac:dyDescent="0.25">
      <c r="A25" s="10" t="s">
        <v>174</v>
      </c>
      <c r="B25" s="27" t="s">
        <v>175</v>
      </c>
      <c r="C25" s="27">
        <v>3.99</v>
      </c>
      <c r="D25" s="27" t="s">
        <v>176</v>
      </c>
      <c r="E25" s="27" t="s">
        <v>113</v>
      </c>
      <c r="F25" s="41">
        <v>2.7</v>
      </c>
      <c r="G25" s="28">
        <v>2.0900000000000001E-4</v>
      </c>
      <c r="H25" s="28">
        <v>1.1600000000000001E-7</v>
      </c>
    </row>
    <row r="26" spans="1:8" x14ac:dyDescent="0.25">
      <c r="A26" s="10" t="s">
        <v>177</v>
      </c>
      <c r="B26" s="27" t="s">
        <v>178</v>
      </c>
      <c r="C26" s="27">
        <v>22.84</v>
      </c>
      <c r="D26" s="27" t="s">
        <v>179</v>
      </c>
      <c r="E26" s="27" t="s">
        <v>113</v>
      </c>
      <c r="F26" s="41">
        <v>2.4500000000000002</v>
      </c>
      <c r="G26" s="28">
        <v>4.9100000000000001E-4</v>
      </c>
      <c r="H26" s="28">
        <v>2.04E-4</v>
      </c>
    </row>
    <row r="27" spans="1:8" x14ac:dyDescent="0.25">
      <c r="A27" s="10" t="s">
        <v>180</v>
      </c>
      <c r="B27" s="27" t="s">
        <v>181</v>
      </c>
      <c r="C27" s="27">
        <v>7.72</v>
      </c>
      <c r="D27" s="27" t="s">
        <v>182</v>
      </c>
      <c r="E27" s="27" t="s">
        <v>113</v>
      </c>
      <c r="F27" s="41">
        <v>2.4500000000000002</v>
      </c>
      <c r="G27" s="28">
        <v>4.6699999999999997E-3</v>
      </c>
      <c r="H27" s="28">
        <v>2.0999999999999999E-3</v>
      </c>
    </row>
    <row r="28" spans="1:8" x14ac:dyDescent="0.25">
      <c r="A28" s="10" t="s">
        <v>183</v>
      </c>
      <c r="B28" s="27" t="s">
        <v>184</v>
      </c>
      <c r="C28" s="27">
        <v>2.58</v>
      </c>
      <c r="D28" s="27" t="s">
        <v>185</v>
      </c>
      <c r="E28" s="27" t="s">
        <v>113</v>
      </c>
      <c r="F28" s="41">
        <v>2.48</v>
      </c>
      <c r="G28" s="28">
        <v>4.9399999999999997E-4</v>
      </c>
      <c r="H28" s="28">
        <v>4.0799999999999999E-10</v>
      </c>
    </row>
    <row r="29" spans="1:8" x14ac:dyDescent="0.25">
      <c r="A29" s="10" t="s">
        <v>186</v>
      </c>
      <c r="B29" s="27" t="s">
        <v>187</v>
      </c>
      <c r="C29" s="27">
        <v>4.5</v>
      </c>
      <c r="D29" s="27" t="s">
        <v>188</v>
      </c>
      <c r="E29" s="27" t="s">
        <v>113</v>
      </c>
      <c r="F29" s="41">
        <v>1.21</v>
      </c>
      <c r="G29" s="28">
        <v>7.2300000000000003E-2</v>
      </c>
      <c r="H29" s="28">
        <v>1.18E-4</v>
      </c>
    </row>
    <row r="30" spans="1:8" x14ac:dyDescent="0.25">
      <c r="A30" s="10" t="s">
        <v>189</v>
      </c>
      <c r="B30" s="27" t="s">
        <v>190</v>
      </c>
      <c r="C30" s="27">
        <v>9.56</v>
      </c>
      <c r="D30" s="27" t="s">
        <v>191</v>
      </c>
      <c r="E30" s="27" t="s">
        <v>113</v>
      </c>
      <c r="F30" s="41">
        <v>1.21</v>
      </c>
      <c r="G30" s="28">
        <v>9.1200000000000001E-7</v>
      </c>
      <c r="H30" s="28">
        <v>1.02E-9</v>
      </c>
    </row>
    <row r="31" spans="1:8" x14ac:dyDescent="0.25">
      <c r="A31" s="10" t="s">
        <v>192</v>
      </c>
      <c r="B31" s="27" t="s">
        <v>193</v>
      </c>
      <c r="C31" s="27">
        <v>25.05</v>
      </c>
      <c r="D31" s="27" t="s">
        <v>194</v>
      </c>
      <c r="E31" s="27" t="s">
        <v>113</v>
      </c>
      <c r="F31" s="41">
        <v>4.05</v>
      </c>
      <c r="G31" s="28">
        <v>1.95E-4</v>
      </c>
      <c r="H31" s="28">
        <v>1.24E-6</v>
      </c>
    </row>
    <row r="32" spans="1:8" x14ac:dyDescent="0.25">
      <c r="A32" s="10" t="s">
        <v>195</v>
      </c>
      <c r="B32" s="27" t="s">
        <v>196</v>
      </c>
      <c r="C32" s="27">
        <v>6.93</v>
      </c>
      <c r="D32" s="27" t="s">
        <v>197</v>
      </c>
      <c r="E32" s="27" t="s">
        <v>113</v>
      </c>
      <c r="F32" s="41">
        <v>3.32</v>
      </c>
      <c r="G32" s="44">
        <v>8.5499999999999997E-4</v>
      </c>
      <c r="H32" s="44">
        <v>1.0699999999999999E-6</v>
      </c>
    </row>
    <row r="33" spans="1:8" x14ac:dyDescent="0.25">
      <c r="A33" s="10" t="s">
        <v>198</v>
      </c>
      <c r="B33" s="27" t="s">
        <v>199</v>
      </c>
      <c r="C33" s="27">
        <v>14.27</v>
      </c>
      <c r="D33" s="27" t="s">
        <v>200</v>
      </c>
      <c r="E33" s="27" t="s">
        <v>113</v>
      </c>
      <c r="F33" s="41">
        <v>-4.5</v>
      </c>
      <c r="G33" s="28">
        <v>2.72</v>
      </c>
      <c r="H33" s="28">
        <v>4.57E-4</v>
      </c>
    </row>
    <row r="34" spans="1:8" x14ac:dyDescent="0.25">
      <c r="A34" s="10" t="s">
        <v>201</v>
      </c>
      <c r="B34" s="27" t="s">
        <v>202</v>
      </c>
      <c r="C34" s="27">
        <v>3.2000000000000001E-2</v>
      </c>
      <c r="D34" s="27" t="s">
        <v>203</v>
      </c>
      <c r="E34" s="27" t="s">
        <v>204</v>
      </c>
      <c r="F34" s="41" t="s">
        <v>205</v>
      </c>
      <c r="G34" s="28">
        <v>2.39</v>
      </c>
      <c r="H34" s="28">
        <v>2.5999999999999999E-2</v>
      </c>
    </row>
    <row r="35" spans="1:8" ht="18" x14ac:dyDescent="0.25">
      <c r="A35" s="10" t="s">
        <v>206</v>
      </c>
      <c r="B35" s="27" t="s">
        <v>207</v>
      </c>
      <c r="C35" s="27">
        <v>1.8E-3</v>
      </c>
      <c r="D35" s="27" t="s">
        <v>527</v>
      </c>
      <c r="E35" s="27" t="s">
        <v>204</v>
      </c>
      <c r="F35" s="41">
        <v>0.22600000000000001</v>
      </c>
      <c r="G35" s="28">
        <v>6.2100000000000002E-3</v>
      </c>
      <c r="H35" s="28">
        <v>1.1700000000000001E-10</v>
      </c>
    </row>
    <row r="36" spans="1:8" x14ac:dyDescent="0.25">
      <c r="A36" s="10" t="s">
        <v>208</v>
      </c>
      <c r="B36" s="27" t="s">
        <v>209</v>
      </c>
      <c r="C36" s="27">
        <v>3.42</v>
      </c>
      <c r="D36" s="27" t="s">
        <v>210</v>
      </c>
      <c r="E36" s="27" t="s">
        <v>204</v>
      </c>
      <c r="F36" s="41">
        <v>1.25</v>
      </c>
      <c r="G36" s="28">
        <v>4.7099999999999998E-3</v>
      </c>
      <c r="H36" s="28" t="s">
        <v>211</v>
      </c>
    </row>
    <row r="37" spans="1:8" x14ac:dyDescent="0.25">
      <c r="A37" s="10" t="s">
        <v>212</v>
      </c>
      <c r="B37" s="27" t="s">
        <v>213</v>
      </c>
      <c r="C37" s="27">
        <v>4.3</v>
      </c>
      <c r="D37" s="27" t="s">
        <v>214</v>
      </c>
      <c r="E37" s="27" t="s">
        <v>204</v>
      </c>
      <c r="F37" s="41">
        <v>1.87</v>
      </c>
      <c r="G37" s="28">
        <v>3.3100000000000002E-4</v>
      </c>
      <c r="H37" s="28">
        <v>3.0100000000000002E-9</v>
      </c>
    </row>
    <row r="38" spans="1:8" x14ac:dyDescent="0.25">
      <c r="A38" s="10" t="s">
        <v>215</v>
      </c>
      <c r="B38" s="27" t="s">
        <v>216</v>
      </c>
      <c r="C38" s="27">
        <v>7.57</v>
      </c>
      <c r="D38" s="27" t="s">
        <v>217</v>
      </c>
      <c r="E38" s="27" t="s">
        <v>204</v>
      </c>
      <c r="F38" s="41">
        <v>3.04</v>
      </c>
      <c r="G38" s="28">
        <v>7.8899999999999993E-5</v>
      </c>
      <c r="H38" s="28">
        <v>6.6399999999999999E-8</v>
      </c>
    </row>
    <row r="39" spans="1:8" x14ac:dyDescent="0.25">
      <c r="A39" s="10" t="s">
        <v>218</v>
      </c>
      <c r="B39" s="27" t="s">
        <v>219</v>
      </c>
      <c r="C39" s="27">
        <v>1.96</v>
      </c>
      <c r="D39" s="27" t="s">
        <v>220</v>
      </c>
      <c r="E39" s="27" t="s">
        <v>204</v>
      </c>
      <c r="F39" s="41">
        <v>2.41</v>
      </c>
      <c r="G39" s="28">
        <v>3.1599999999999998E-4</v>
      </c>
      <c r="H39" s="28">
        <v>3.3700000000000003E-10</v>
      </c>
    </row>
    <row r="40" spans="1:8" x14ac:dyDescent="0.25">
      <c r="A40" s="10" t="s">
        <v>221</v>
      </c>
      <c r="B40" s="27" t="s">
        <v>222</v>
      </c>
      <c r="C40" s="27">
        <v>13.95</v>
      </c>
      <c r="D40" s="27" t="s">
        <v>223</v>
      </c>
      <c r="E40" s="27" t="s">
        <v>204</v>
      </c>
      <c r="F40" s="41">
        <v>3.23</v>
      </c>
      <c r="G40" s="28">
        <v>2.99E-4</v>
      </c>
      <c r="H40" s="28">
        <v>3.7300000000000001E-9</v>
      </c>
    </row>
    <row r="41" spans="1:8" x14ac:dyDescent="0.25">
      <c r="A41" s="10" t="s">
        <v>224</v>
      </c>
      <c r="B41" s="27" t="s">
        <v>225</v>
      </c>
      <c r="C41" s="27">
        <v>3.71</v>
      </c>
      <c r="D41" s="27" t="s">
        <v>226</v>
      </c>
      <c r="E41" s="27" t="s">
        <v>204</v>
      </c>
      <c r="F41" s="41">
        <v>2.76</v>
      </c>
      <c r="G41" s="28" t="s">
        <v>227</v>
      </c>
      <c r="H41" s="28" t="s">
        <v>228</v>
      </c>
    </row>
    <row r="42" spans="1:8" x14ac:dyDescent="0.25">
      <c r="A42" s="10" t="s">
        <v>192</v>
      </c>
      <c r="B42" s="27" t="s">
        <v>193</v>
      </c>
      <c r="C42" s="27">
        <v>25.05</v>
      </c>
      <c r="D42" s="27" t="s">
        <v>229</v>
      </c>
      <c r="E42" s="27" t="s">
        <v>204</v>
      </c>
      <c r="F42" s="41">
        <v>4.05</v>
      </c>
      <c r="G42" s="28">
        <v>1.95E-4</v>
      </c>
      <c r="H42" s="28">
        <v>1.24E-6</v>
      </c>
    </row>
    <row r="43" spans="1:8" x14ac:dyDescent="0.25">
      <c r="A43" s="10" t="s">
        <v>230</v>
      </c>
      <c r="B43" s="27" t="s">
        <v>231</v>
      </c>
      <c r="C43" s="27">
        <v>9.26</v>
      </c>
      <c r="D43" s="27" t="s">
        <v>232</v>
      </c>
      <c r="E43" s="27" t="s">
        <v>204</v>
      </c>
      <c r="F43" s="41">
        <v>1.93</v>
      </c>
      <c r="G43" s="28">
        <v>2.5200000000000001E-3</v>
      </c>
      <c r="H43" s="28">
        <v>1.7399999999999999E-5</v>
      </c>
    </row>
    <row r="44" spans="1:8" x14ac:dyDescent="0.25">
      <c r="A44" s="10" t="s">
        <v>233</v>
      </c>
      <c r="B44" s="27" t="s">
        <v>234</v>
      </c>
      <c r="C44" s="27">
        <v>1.76</v>
      </c>
      <c r="D44" s="27" t="s">
        <v>235</v>
      </c>
      <c r="E44" s="27" t="s">
        <v>204</v>
      </c>
      <c r="F44" s="41">
        <v>1.48</v>
      </c>
      <c r="G44" s="28">
        <v>3.5999999999999999E-3</v>
      </c>
      <c r="H44" s="28">
        <v>2.88E-9</v>
      </c>
    </row>
    <row r="45" spans="1:8" x14ac:dyDescent="0.25">
      <c r="A45" s="10" t="s">
        <v>236</v>
      </c>
      <c r="B45" s="27" t="s">
        <v>237</v>
      </c>
      <c r="C45" s="27">
        <v>5.72</v>
      </c>
      <c r="D45" s="27" t="s">
        <v>238</v>
      </c>
      <c r="E45" s="27" t="s">
        <v>204</v>
      </c>
      <c r="F45" s="41">
        <v>3.1</v>
      </c>
      <c r="G45" s="28">
        <v>1.82</v>
      </c>
      <c r="H45" s="28" t="s">
        <v>239</v>
      </c>
    </row>
    <row r="46" spans="1:8" x14ac:dyDescent="0.25">
      <c r="A46" s="10" t="s">
        <v>240</v>
      </c>
      <c r="B46" s="27" t="s">
        <v>241</v>
      </c>
      <c r="C46" s="27">
        <v>3.09</v>
      </c>
      <c r="D46" s="27" t="s">
        <v>242</v>
      </c>
      <c r="E46" s="27" t="s">
        <v>204</v>
      </c>
      <c r="F46" s="41">
        <v>3.56</v>
      </c>
      <c r="G46" s="28">
        <v>1.84</v>
      </c>
      <c r="H46" s="28" t="s">
        <v>543</v>
      </c>
    </row>
    <row r="47" spans="1:8" ht="18" x14ac:dyDescent="0.25">
      <c r="A47" s="10" t="s">
        <v>243</v>
      </c>
      <c r="B47" s="27" t="s">
        <v>244</v>
      </c>
      <c r="C47" s="27">
        <v>2.52</v>
      </c>
      <c r="D47" s="27" t="s">
        <v>526</v>
      </c>
      <c r="E47" s="27" t="s">
        <v>204</v>
      </c>
      <c r="F47" s="41">
        <v>1.63</v>
      </c>
      <c r="G47" s="28">
        <v>5.1999999999999998E-3</v>
      </c>
      <c r="H47" s="28" t="s">
        <v>544</v>
      </c>
    </row>
    <row r="48" spans="1:8" x14ac:dyDescent="0.25">
      <c r="A48" s="10" t="s">
        <v>245</v>
      </c>
      <c r="B48" s="27" t="s">
        <v>246</v>
      </c>
      <c r="C48" s="27">
        <v>6.71</v>
      </c>
      <c r="D48" s="27" t="s">
        <v>247</v>
      </c>
      <c r="E48" s="27" t="s">
        <v>204</v>
      </c>
      <c r="F48" s="41">
        <v>1.59</v>
      </c>
      <c r="G48" s="28">
        <v>0.79400000000000004</v>
      </c>
      <c r="H48" s="28">
        <v>1.2300000000000001E-4</v>
      </c>
    </row>
    <row r="49" spans="1:8" x14ac:dyDescent="0.25">
      <c r="A49" s="10" t="s">
        <v>248</v>
      </c>
      <c r="B49" s="27" t="s">
        <v>249</v>
      </c>
      <c r="C49" s="27">
        <v>16.100000000000001</v>
      </c>
      <c r="D49" s="27" t="s">
        <v>250</v>
      </c>
      <c r="E49" s="27" t="s">
        <v>204</v>
      </c>
      <c r="F49" s="41">
        <v>4.6399999999999997</v>
      </c>
      <c r="G49" s="28">
        <v>1.65E-4</v>
      </c>
      <c r="H49" s="28">
        <v>2.8900000000000001E-5</v>
      </c>
    </row>
    <row r="50" spans="1:8" ht="18" x14ac:dyDescent="0.25">
      <c r="A50" s="10" t="s">
        <v>251</v>
      </c>
      <c r="B50" s="27" t="s">
        <v>252</v>
      </c>
      <c r="C50" s="27">
        <v>0.8</v>
      </c>
      <c r="D50" s="27" t="s">
        <v>423</v>
      </c>
      <c r="E50" s="27" t="s">
        <v>204</v>
      </c>
      <c r="F50" s="41">
        <v>2.57</v>
      </c>
      <c r="G50" s="28" t="s">
        <v>542</v>
      </c>
      <c r="H50" s="28">
        <v>3.6600000000000002E-9</v>
      </c>
    </row>
    <row r="51" spans="1:8" ht="18" x14ac:dyDescent="0.25">
      <c r="A51" s="10" t="s">
        <v>253</v>
      </c>
      <c r="B51" s="27" t="s">
        <v>254</v>
      </c>
      <c r="C51" s="27">
        <v>0.14000000000000001</v>
      </c>
      <c r="D51" s="27" t="s">
        <v>424</v>
      </c>
      <c r="E51" s="27" t="s">
        <v>204</v>
      </c>
      <c r="F51" s="41">
        <v>-0.68</v>
      </c>
      <c r="G51" s="28">
        <v>0.216</v>
      </c>
      <c r="H51" s="28" t="s">
        <v>545</v>
      </c>
    </row>
    <row r="52" spans="1:8" x14ac:dyDescent="0.25">
      <c r="A52" s="10" t="s">
        <v>255</v>
      </c>
      <c r="B52" s="27" t="s">
        <v>256</v>
      </c>
      <c r="C52" s="27">
        <v>4.7</v>
      </c>
      <c r="D52" s="27" t="s">
        <v>257</v>
      </c>
      <c r="E52" s="27" t="s">
        <v>204</v>
      </c>
      <c r="F52" s="41">
        <v>4.68</v>
      </c>
      <c r="G52" s="28">
        <v>6.1299999999999999E-5</v>
      </c>
      <c r="H52" s="28">
        <v>2.8200000000000001E-8</v>
      </c>
    </row>
    <row r="53" spans="1:8" x14ac:dyDescent="0.25">
      <c r="A53" s="10" t="s">
        <v>258</v>
      </c>
      <c r="B53" s="27" t="s">
        <v>259</v>
      </c>
      <c r="C53" s="27">
        <v>5.48</v>
      </c>
      <c r="D53" s="27" t="s">
        <v>260</v>
      </c>
      <c r="E53" s="27" t="s">
        <v>204</v>
      </c>
      <c r="F53" s="41" t="s">
        <v>261</v>
      </c>
      <c r="G53" s="28">
        <v>2.5000000000000001E-4</v>
      </c>
      <c r="H53" s="28">
        <v>1.3300000000000001E-10</v>
      </c>
    </row>
    <row r="54" spans="1:8" x14ac:dyDescent="0.25">
      <c r="A54" s="10" t="s">
        <v>262</v>
      </c>
      <c r="B54" s="27" t="s">
        <v>263</v>
      </c>
      <c r="C54" s="27">
        <v>16.399999999999999</v>
      </c>
      <c r="D54" s="27" t="s">
        <v>264</v>
      </c>
      <c r="E54" s="27" t="s">
        <v>204</v>
      </c>
      <c r="F54" s="41">
        <v>4.5599999999999996</v>
      </c>
      <c r="G54" s="28">
        <v>8.1699999999999994E-5</v>
      </c>
      <c r="H54" s="28" t="s">
        <v>546</v>
      </c>
    </row>
    <row r="55" spans="1:8" x14ac:dyDescent="0.25">
      <c r="A55" s="10" t="s">
        <v>265</v>
      </c>
      <c r="B55" s="27" t="s">
        <v>266</v>
      </c>
      <c r="C55" s="27">
        <v>13.67</v>
      </c>
      <c r="D55" s="27" t="s">
        <v>267</v>
      </c>
      <c r="E55" s="27" t="s">
        <v>204</v>
      </c>
      <c r="F55" s="41">
        <v>4.24</v>
      </c>
      <c r="G55" s="28">
        <v>3.0899999999999998E-4</v>
      </c>
      <c r="H55" s="28">
        <v>4.01E-7</v>
      </c>
    </row>
    <row r="56" spans="1:8" x14ac:dyDescent="0.25">
      <c r="A56" s="10" t="s">
        <v>268</v>
      </c>
      <c r="B56" s="27" t="s">
        <v>269</v>
      </c>
      <c r="C56" s="27">
        <v>2.31</v>
      </c>
      <c r="D56" s="27" t="s">
        <v>270</v>
      </c>
      <c r="E56" s="27" t="s">
        <v>204</v>
      </c>
      <c r="F56" s="41">
        <v>0.9</v>
      </c>
      <c r="G56" s="28">
        <v>1.8499999999999999E-2</v>
      </c>
      <c r="H56" s="28">
        <v>6.6599999999999998E-6</v>
      </c>
    </row>
    <row r="57" spans="1:8" x14ac:dyDescent="0.25">
      <c r="A57" s="10" t="s">
        <v>271</v>
      </c>
      <c r="B57" s="27" t="s">
        <v>272</v>
      </c>
      <c r="C57" s="27">
        <v>7.27</v>
      </c>
      <c r="D57" s="27" t="s">
        <v>273</v>
      </c>
      <c r="E57" s="27" t="s">
        <v>204</v>
      </c>
      <c r="F57" s="41">
        <v>2.67</v>
      </c>
      <c r="G57" s="28">
        <v>4.4200000000000001E-4</v>
      </c>
      <c r="H57" s="28">
        <v>9.9399999999999993E-7</v>
      </c>
    </row>
    <row r="58" spans="1:8" x14ac:dyDescent="0.25">
      <c r="A58" s="10" t="s">
        <v>274</v>
      </c>
      <c r="B58" s="27" t="s">
        <v>275</v>
      </c>
      <c r="C58" s="27">
        <v>4.9400000000000004</v>
      </c>
      <c r="D58" s="27" t="s">
        <v>276</v>
      </c>
      <c r="E58" s="27" t="s">
        <v>204</v>
      </c>
      <c r="F58" s="41">
        <v>2.2400000000000002</v>
      </c>
      <c r="G58" s="28">
        <v>1.12E-4</v>
      </c>
      <c r="H58" s="28">
        <v>2.1299999999999999E-10</v>
      </c>
    </row>
    <row r="59" spans="1:8" x14ac:dyDescent="0.25">
      <c r="A59" s="10" t="s">
        <v>277</v>
      </c>
      <c r="B59" s="27" t="s">
        <v>278</v>
      </c>
      <c r="C59" s="27">
        <v>6.42</v>
      </c>
      <c r="D59" s="27" t="s">
        <v>279</v>
      </c>
      <c r="E59" s="27" t="s">
        <v>204</v>
      </c>
      <c r="F59" s="41">
        <v>4</v>
      </c>
      <c r="G59" s="28">
        <v>2.2000000000000001E-4</v>
      </c>
      <c r="H59" s="28">
        <v>3.9700000000000002E-7</v>
      </c>
    </row>
    <row r="60" spans="1:8" x14ac:dyDescent="0.25">
      <c r="A60" s="10" t="s">
        <v>280</v>
      </c>
      <c r="B60" s="27" t="s">
        <v>281</v>
      </c>
      <c r="C60" s="27">
        <v>3.68</v>
      </c>
      <c r="D60" s="27" t="s">
        <v>282</v>
      </c>
      <c r="E60" s="27" t="s">
        <v>204</v>
      </c>
      <c r="F60" s="41">
        <v>3</v>
      </c>
      <c r="G60" s="28">
        <v>2.1000000000000001E-4</v>
      </c>
      <c r="H60" s="28">
        <v>6.9699999999999997E-9</v>
      </c>
    </row>
    <row r="61" spans="1:8" x14ac:dyDescent="0.25">
      <c r="A61" s="10" t="s">
        <v>283</v>
      </c>
      <c r="B61" s="27" t="s">
        <v>284</v>
      </c>
      <c r="C61" s="27">
        <v>16.57</v>
      </c>
      <c r="D61" s="27" t="s">
        <v>285</v>
      </c>
      <c r="E61" s="27" t="s">
        <v>204</v>
      </c>
      <c r="F61" s="41">
        <v>3.73</v>
      </c>
      <c r="G61" s="28">
        <v>3.1900000000000003E-5</v>
      </c>
      <c r="H61" s="28">
        <v>1.7700000000000001E-9</v>
      </c>
    </row>
    <row r="62" spans="1:8" x14ac:dyDescent="0.25">
      <c r="A62" s="10" t="s">
        <v>286</v>
      </c>
      <c r="B62" s="27" t="s">
        <v>287</v>
      </c>
      <c r="C62" s="27">
        <v>0.52</v>
      </c>
      <c r="D62" s="27" t="s">
        <v>288</v>
      </c>
      <c r="E62" s="27" t="s">
        <v>204</v>
      </c>
      <c r="F62" s="41">
        <v>3.53</v>
      </c>
      <c r="G62" s="28">
        <v>1.2E-4</v>
      </c>
      <c r="H62" s="28">
        <v>5.4099999999999999E-11</v>
      </c>
    </row>
    <row r="63" spans="1:8" x14ac:dyDescent="0.25">
      <c r="A63" s="10" t="s">
        <v>289</v>
      </c>
      <c r="B63" s="27" t="s">
        <v>290</v>
      </c>
      <c r="C63" s="27">
        <v>3.79</v>
      </c>
      <c r="D63" s="27" t="s">
        <v>291</v>
      </c>
      <c r="E63" s="27" t="s">
        <v>204</v>
      </c>
      <c r="F63" s="41">
        <v>1.24</v>
      </c>
      <c r="G63" s="28">
        <v>0.14799999999999999</v>
      </c>
      <c r="H63" s="28">
        <v>8.92E-4</v>
      </c>
    </row>
    <row r="64" spans="1:8" x14ac:dyDescent="0.25">
      <c r="A64" s="10" t="s">
        <v>292</v>
      </c>
      <c r="B64" s="27" t="s">
        <v>293</v>
      </c>
      <c r="C64" s="27">
        <v>6.06</v>
      </c>
      <c r="D64" s="27" t="s">
        <v>294</v>
      </c>
      <c r="E64" s="27" t="s">
        <v>204</v>
      </c>
      <c r="F64" s="41" t="s">
        <v>295</v>
      </c>
      <c r="G64" s="28" t="s">
        <v>548</v>
      </c>
      <c r="H64" s="28">
        <v>4.5299999999999999E-9</v>
      </c>
    </row>
    <row r="65" spans="1:8" x14ac:dyDescent="0.25">
      <c r="A65" s="10" t="s">
        <v>296</v>
      </c>
      <c r="B65" s="27" t="s">
        <v>297</v>
      </c>
      <c r="C65" s="27">
        <v>8.9</v>
      </c>
      <c r="D65" s="27" t="s">
        <v>298</v>
      </c>
      <c r="E65" s="27" t="s">
        <v>204</v>
      </c>
      <c r="F65" s="41">
        <v>5.01</v>
      </c>
      <c r="G65" s="28">
        <v>1.4800000000000001E-5</v>
      </c>
      <c r="H65" s="28" t="s">
        <v>547</v>
      </c>
    </row>
    <row r="66" spans="1:8" x14ac:dyDescent="0.25">
      <c r="A66" s="10" t="s">
        <v>299</v>
      </c>
      <c r="B66" s="27" t="s">
        <v>300</v>
      </c>
      <c r="C66" s="27">
        <v>1.81</v>
      </c>
      <c r="D66" s="27" t="s">
        <v>301</v>
      </c>
      <c r="E66" s="27" t="s">
        <v>204</v>
      </c>
      <c r="F66" s="41">
        <v>2.63</v>
      </c>
      <c r="G66" s="28">
        <v>8.25E-4</v>
      </c>
      <c r="H66" s="28">
        <v>4.6399999999999996E-6</v>
      </c>
    </row>
    <row r="67" spans="1:8" x14ac:dyDescent="0.25">
      <c r="A67" s="10" t="s">
        <v>302</v>
      </c>
      <c r="B67" s="27" t="s">
        <v>303</v>
      </c>
      <c r="C67" s="27">
        <v>2.29</v>
      </c>
      <c r="D67" s="27" t="s">
        <v>304</v>
      </c>
      <c r="E67" s="27" t="s">
        <v>204</v>
      </c>
      <c r="F67" s="41">
        <v>1.36</v>
      </c>
      <c r="G67" s="28">
        <v>2.2399999999999998E-3</v>
      </c>
      <c r="H67" s="28">
        <v>8.9599999999999998E-7</v>
      </c>
    </row>
    <row r="68" spans="1:8" x14ac:dyDescent="0.25">
      <c r="A68" s="10" t="s">
        <v>305</v>
      </c>
      <c r="B68" s="27" t="s">
        <v>306</v>
      </c>
      <c r="C68" s="27">
        <v>0.88</v>
      </c>
      <c r="D68" s="27" t="s">
        <v>307</v>
      </c>
      <c r="E68" s="27" t="s">
        <v>204</v>
      </c>
      <c r="F68" s="41">
        <v>1.26</v>
      </c>
      <c r="G68" s="28">
        <v>0.81</v>
      </c>
      <c r="H68" s="28">
        <v>7.7300000000000005E-6</v>
      </c>
    </row>
    <row r="69" spans="1:8" x14ac:dyDescent="0.25">
      <c r="A69" s="10" t="s">
        <v>308</v>
      </c>
      <c r="B69" s="27" t="s">
        <v>309</v>
      </c>
      <c r="C69" s="27">
        <v>2.34</v>
      </c>
      <c r="D69" s="27" t="s">
        <v>310</v>
      </c>
      <c r="E69" s="27" t="s">
        <v>204</v>
      </c>
      <c r="F69" s="41">
        <v>1.47</v>
      </c>
      <c r="G69" s="28">
        <v>1.56E-3</v>
      </c>
      <c r="H69" s="28">
        <v>1.27E-5</v>
      </c>
    </row>
    <row r="70" spans="1:8" x14ac:dyDescent="0.25">
      <c r="A70" s="10" t="s">
        <v>311</v>
      </c>
      <c r="B70" s="27" t="s">
        <v>312</v>
      </c>
      <c r="C70" s="27">
        <v>4.83</v>
      </c>
      <c r="D70" s="27" t="s">
        <v>313</v>
      </c>
      <c r="E70" s="27" t="s">
        <v>204</v>
      </c>
      <c r="F70" s="41" t="s">
        <v>314</v>
      </c>
      <c r="G70" s="28">
        <v>1.9400000000000001E-3</v>
      </c>
      <c r="H70" s="28">
        <v>7.5899999999999995E-7</v>
      </c>
    </row>
    <row r="71" spans="1:8" x14ac:dyDescent="0.25">
      <c r="A71" s="10" t="s">
        <v>315</v>
      </c>
      <c r="B71" s="27" t="s">
        <v>316</v>
      </c>
      <c r="C71" s="27">
        <v>2.56</v>
      </c>
      <c r="D71" s="27" t="s">
        <v>317</v>
      </c>
      <c r="E71" s="27" t="s">
        <v>204</v>
      </c>
      <c r="F71" s="41">
        <v>1.4</v>
      </c>
      <c r="G71" s="28">
        <v>4.8300000000000003E-2</v>
      </c>
      <c r="H71" s="28" t="s">
        <v>549</v>
      </c>
    </row>
    <row r="72" spans="1:8" x14ac:dyDescent="0.25">
      <c r="A72" s="10" t="s">
        <v>318</v>
      </c>
      <c r="B72" s="27" t="s">
        <v>319</v>
      </c>
      <c r="C72" s="27">
        <v>9.3800000000000008</v>
      </c>
      <c r="D72" s="27" t="s">
        <v>320</v>
      </c>
      <c r="E72" s="27" t="s">
        <v>204</v>
      </c>
      <c r="F72" s="41">
        <v>3.86</v>
      </c>
      <c r="G72" s="28">
        <v>5.0899999999999997E-5</v>
      </c>
      <c r="H72" s="28">
        <v>2.4300000000000001E-9</v>
      </c>
    </row>
    <row r="73" spans="1:8" ht="18" x14ac:dyDescent="0.25">
      <c r="A73" s="10" t="s">
        <v>321</v>
      </c>
      <c r="B73" s="27" t="s">
        <v>322</v>
      </c>
      <c r="C73" s="27">
        <v>16.48</v>
      </c>
      <c r="D73" s="27" t="s">
        <v>528</v>
      </c>
      <c r="E73" s="27" t="s">
        <v>323</v>
      </c>
      <c r="F73" s="41">
        <v>2.12</v>
      </c>
      <c r="G73" s="28">
        <v>2.5099999999999998E-4</v>
      </c>
      <c r="H73" s="28">
        <v>3.1899999999999999E-9</v>
      </c>
    </row>
    <row r="74" spans="1:8" ht="18" x14ac:dyDescent="0.25">
      <c r="A74" s="10" t="s">
        <v>324</v>
      </c>
      <c r="B74" s="27" t="s">
        <v>325</v>
      </c>
      <c r="C74" s="27">
        <v>2.46</v>
      </c>
      <c r="D74" s="27" t="s">
        <v>529</v>
      </c>
      <c r="E74" s="27" t="s">
        <v>323</v>
      </c>
      <c r="F74" s="41">
        <v>7.0000000000000007E-2</v>
      </c>
      <c r="G74" s="28">
        <v>0.112</v>
      </c>
      <c r="H74" s="28" t="s">
        <v>550</v>
      </c>
    </row>
    <row r="75" spans="1:8" ht="18" x14ac:dyDescent="0.25">
      <c r="A75" s="10" t="s">
        <v>326</v>
      </c>
      <c r="B75" s="27" t="s">
        <v>327</v>
      </c>
      <c r="C75" s="27">
        <v>8.2899999999999991</v>
      </c>
      <c r="D75" s="27" t="s">
        <v>530</v>
      </c>
      <c r="E75" s="27" t="s">
        <v>323</v>
      </c>
      <c r="F75" s="41">
        <v>5.41</v>
      </c>
      <c r="G75" s="28" t="s">
        <v>551</v>
      </c>
      <c r="H75" s="28" t="s">
        <v>552</v>
      </c>
    </row>
    <row r="76" spans="1:8" ht="18" x14ac:dyDescent="0.25">
      <c r="A76" s="10" t="s">
        <v>328</v>
      </c>
      <c r="B76" s="27" t="s">
        <v>329</v>
      </c>
      <c r="C76" s="27">
        <v>11.26</v>
      </c>
      <c r="D76" s="27" t="s">
        <v>531</v>
      </c>
      <c r="E76" s="27" t="s">
        <v>323</v>
      </c>
      <c r="F76" s="41">
        <v>2.12</v>
      </c>
      <c r="G76" s="28" t="s">
        <v>554</v>
      </c>
      <c r="H76" s="28" t="s">
        <v>553</v>
      </c>
    </row>
    <row r="77" spans="1:8" ht="18" x14ac:dyDescent="0.25">
      <c r="A77" s="10" t="s">
        <v>330</v>
      </c>
      <c r="B77" s="27" t="s">
        <v>331</v>
      </c>
      <c r="C77" s="27">
        <v>10.33</v>
      </c>
      <c r="D77" s="27" t="s">
        <v>532</v>
      </c>
      <c r="E77" s="27" t="s">
        <v>323</v>
      </c>
      <c r="F77" s="41">
        <v>4.9000000000000004</v>
      </c>
      <c r="G77" s="28">
        <v>2.04E-4</v>
      </c>
      <c r="H77" s="28" t="s">
        <v>555</v>
      </c>
    </row>
    <row r="78" spans="1:8" ht="18" x14ac:dyDescent="0.25">
      <c r="A78" s="10" t="s">
        <v>332</v>
      </c>
      <c r="B78" s="27" t="s">
        <v>333</v>
      </c>
      <c r="C78" s="27">
        <v>8.8800000000000008</v>
      </c>
      <c r="D78" s="27" t="s">
        <v>533</v>
      </c>
      <c r="E78" s="27" t="s">
        <v>323</v>
      </c>
      <c r="F78" s="41">
        <v>2.91</v>
      </c>
      <c r="G78" s="28">
        <v>1.75E-4</v>
      </c>
      <c r="H78" s="28">
        <v>2.7400000000000001E-8</v>
      </c>
    </row>
    <row r="79" spans="1:8" ht="18" x14ac:dyDescent="0.25">
      <c r="A79" s="10" t="s">
        <v>334</v>
      </c>
      <c r="B79" s="27" t="s">
        <v>335</v>
      </c>
      <c r="C79" s="27">
        <v>6.06</v>
      </c>
      <c r="D79" s="27" t="s">
        <v>532</v>
      </c>
      <c r="E79" s="27" t="s">
        <v>323</v>
      </c>
      <c r="F79" s="41">
        <v>3.93</v>
      </c>
      <c r="G79" s="28" t="s">
        <v>556</v>
      </c>
      <c r="H79" s="28">
        <v>1.02E-8</v>
      </c>
    </row>
    <row r="80" spans="1:8" ht="18" x14ac:dyDescent="0.25">
      <c r="A80" s="10" t="s">
        <v>336</v>
      </c>
      <c r="B80" s="27" t="s">
        <v>337</v>
      </c>
      <c r="C80" s="27">
        <v>21.03</v>
      </c>
      <c r="D80" s="27" t="s">
        <v>534</v>
      </c>
      <c r="E80" s="27" t="s">
        <v>323</v>
      </c>
      <c r="F80" s="41">
        <v>4.8</v>
      </c>
      <c r="G80" s="28">
        <v>5.3300000000000001E-5</v>
      </c>
      <c r="H80" s="28">
        <v>1.1999999999999999E-6</v>
      </c>
    </row>
    <row r="81" spans="1:8" ht="18" x14ac:dyDescent="0.25">
      <c r="A81" s="10" t="s">
        <v>338</v>
      </c>
      <c r="B81" s="27" t="s">
        <v>339</v>
      </c>
      <c r="C81" s="27">
        <v>10.48</v>
      </c>
      <c r="D81" s="27" t="s">
        <v>536</v>
      </c>
      <c r="E81" s="27" t="s">
        <v>323</v>
      </c>
      <c r="F81" s="41">
        <v>3.87</v>
      </c>
      <c r="G81" s="28">
        <v>3.4600000000000001E-5</v>
      </c>
      <c r="H81" s="28">
        <v>1.4700000000000001E-7</v>
      </c>
    </row>
    <row r="82" spans="1:8" ht="18" x14ac:dyDescent="0.25">
      <c r="A82" s="10" t="s">
        <v>340</v>
      </c>
      <c r="B82" s="27" t="s">
        <v>341</v>
      </c>
      <c r="C82" s="27">
        <v>8.68</v>
      </c>
      <c r="D82" s="27" t="s">
        <v>535</v>
      </c>
      <c r="E82" s="27" t="s">
        <v>323</v>
      </c>
      <c r="F82" s="41" t="s">
        <v>342</v>
      </c>
      <c r="G82" s="28">
        <v>5.0000000000000002E-5</v>
      </c>
      <c r="H82" s="28">
        <v>3.39E-7</v>
      </c>
    </row>
    <row r="83" spans="1:8" ht="18" x14ac:dyDescent="0.25">
      <c r="A83" s="10" t="s">
        <v>343</v>
      </c>
      <c r="B83" s="27" t="s">
        <v>344</v>
      </c>
      <c r="C83" s="27">
        <v>9.49</v>
      </c>
      <c r="D83" s="27" t="s">
        <v>531</v>
      </c>
      <c r="E83" s="27" t="s">
        <v>323</v>
      </c>
      <c r="F83" s="41">
        <v>3.32</v>
      </c>
      <c r="G83" s="28" t="s">
        <v>557</v>
      </c>
      <c r="H83" s="28">
        <v>1.37E-7</v>
      </c>
    </row>
    <row r="84" spans="1:8" ht="18" x14ac:dyDescent="0.25">
      <c r="A84" s="10" t="s">
        <v>345</v>
      </c>
      <c r="B84" s="27" t="s">
        <v>346</v>
      </c>
      <c r="C84" s="27">
        <v>1.1499999999999999</v>
      </c>
      <c r="D84" s="27" t="s">
        <v>537</v>
      </c>
      <c r="E84" s="27" t="s">
        <v>323</v>
      </c>
      <c r="F84" s="41">
        <v>2.85</v>
      </c>
      <c r="G84" s="28">
        <v>4.37E-4</v>
      </c>
      <c r="H84" s="28">
        <v>1.4500000000000001E-8</v>
      </c>
    </row>
    <row r="85" spans="1:8" ht="18" x14ac:dyDescent="0.25">
      <c r="A85" s="10" t="s">
        <v>347</v>
      </c>
      <c r="B85" s="27" t="s">
        <v>348</v>
      </c>
      <c r="C85" s="27">
        <v>1.7</v>
      </c>
      <c r="D85" s="27" t="s">
        <v>538</v>
      </c>
      <c r="E85" s="27" t="s">
        <v>323</v>
      </c>
      <c r="F85" s="41">
        <v>0.96199999999999997</v>
      </c>
      <c r="G85" s="28">
        <v>1.4100000000000001E-4</v>
      </c>
      <c r="H85" s="28">
        <v>4.8399999999999998E-9</v>
      </c>
    </row>
    <row r="86" spans="1:8" ht="18" x14ac:dyDescent="0.25">
      <c r="A86" s="10" t="s">
        <v>349</v>
      </c>
      <c r="B86" s="27" t="s">
        <v>350</v>
      </c>
      <c r="C86" s="27">
        <v>7.86</v>
      </c>
      <c r="D86" s="27" t="s">
        <v>539</v>
      </c>
      <c r="E86" s="27" t="s">
        <v>323</v>
      </c>
      <c r="F86" s="41">
        <v>5.87</v>
      </c>
      <c r="G86" s="28">
        <v>2.7E-6</v>
      </c>
      <c r="H86" s="28" t="s">
        <v>558</v>
      </c>
    </row>
    <row r="87" spans="1:8" ht="18" x14ac:dyDescent="0.25">
      <c r="A87" s="10" t="s">
        <v>351</v>
      </c>
      <c r="B87" s="27" t="s">
        <v>352</v>
      </c>
      <c r="C87" s="27">
        <v>0.41</v>
      </c>
      <c r="D87" s="27" t="s">
        <v>540</v>
      </c>
      <c r="E87" s="27" t="s">
        <v>323</v>
      </c>
      <c r="F87" s="41">
        <v>0.16</v>
      </c>
      <c r="G87" s="28">
        <v>5.2999999999999999E-2</v>
      </c>
      <c r="H87" s="28" t="s">
        <v>559</v>
      </c>
    </row>
    <row r="88" spans="1:8" ht="18" x14ac:dyDescent="0.25">
      <c r="A88" s="10" t="s">
        <v>353</v>
      </c>
      <c r="B88" s="27" t="s">
        <v>354</v>
      </c>
      <c r="C88" s="27">
        <v>1.71</v>
      </c>
      <c r="D88" s="27" t="s">
        <v>541</v>
      </c>
      <c r="E88" s="27" t="s">
        <v>323</v>
      </c>
      <c r="F88" s="41">
        <v>1.61</v>
      </c>
      <c r="G88" s="28">
        <v>9.9299999999999996E-4</v>
      </c>
      <c r="H88" s="28">
        <v>2.4399999999999998E-10</v>
      </c>
    </row>
    <row r="89" spans="1:8" ht="18" x14ac:dyDescent="0.25">
      <c r="A89" s="10" t="s">
        <v>355</v>
      </c>
      <c r="B89" s="27" t="s">
        <v>356</v>
      </c>
      <c r="C89" s="27">
        <v>0.13</v>
      </c>
      <c r="D89" s="27" t="s">
        <v>565</v>
      </c>
      <c r="E89" s="27" t="s">
        <v>323</v>
      </c>
      <c r="F89" s="41">
        <v>-0.98</v>
      </c>
      <c r="G89" s="28">
        <v>6.5299999999999997E-2</v>
      </c>
      <c r="H89" s="28">
        <v>6.7399999999999998E-5</v>
      </c>
    </row>
    <row r="90" spans="1:8" ht="18" x14ac:dyDescent="0.25">
      <c r="A90" s="10" t="s">
        <v>357</v>
      </c>
      <c r="B90" s="27" t="s">
        <v>358</v>
      </c>
      <c r="C90" s="27">
        <v>0.51</v>
      </c>
      <c r="D90" s="27" t="s">
        <v>566</v>
      </c>
      <c r="E90" s="27" t="s">
        <v>323</v>
      </c>
      <c r="F90" s="41">
        <v>-0.2</v>
      </c>
      <c r="G90" s="28">
        <v>1.0699999999999999E-2</v>
      </c>
      <c r="H90" s="28">
        <v>5.99E-10</v>
      </c>
    </row>
    <row r="91" spans="1:8" ht="18" x14ac:dyDescent="0.25">
      <c r="A91" s="10" t="s">
        <v>359</v>
      </c>
      <c r="B91" s="27" t="s">
        <v>360</v>
      </c>
      <c r="C91" s="27">
        <v>0.82</v>
      </c>
      <c r="D91" s="27" t="s">
        <v>567</v>
      </c>
      <c r="E91" s="27" t="s">
        <v>323</v>
      </c>
      <c r="F91" s="41">
        <v>2.83</v>
      </c>
      <c r="G91" s="28">
        <v>7.27E-4</v>
      </c>
      <c r="H91" s="28">
        <v>9.6000000000000005E-11</v>
      </c>
    </row>
    <row r="92" spans="1:8" ht="18" x14ac:dyDescent="0.25">
      <c r="A92" s="10" t="s">
        <v>361</v>
      </c>
      <c r="B92" s="27" t="s">
        <v>362</v>
      </c>
      <c r="C92" s="27">
        <v>1.24</v>
      </c>
      <c r="D92" s="27" t="s">
        <v>568</v>
      </c>
      <c r="E92" s="27" t="s">
        <v>323</v>
      </c>
      <c r="F92" s="41">
        <v>-0.3</v>
      </c>
      <c r="G92" s="28">
        <v>2.9299999999999999E-3</v>
      </c>
      <c r="H92" s="28">
        <v>2.88E-9</v>
      </c>
    </row>
    <row r="93" spans="1:8" ht="18" x14ac:dyDescent="0.25">
      <c r="A93" s="10" t="s">
        <v>363</v>
      </c>
      <c r="B93" s="27" t="s">
        <v>364</v>
      </c>
      <c r="C93" s="27">
        <v>2.93</v>
      </c>
      <c r="D93" s="27" t="s">
        <v>569</v>
      </c>
      <c r="E93" s="27" t="s">
        <v>323</v>
      </c>
      <c r="F93" s="41">
        <v>1.94</v>
      </c>
      <c r="G93" s="28">
        <v>5.7499999999999999E-4</v>
      </c>
      <c r="H93" s="28">
        <v>1.44E-9</v>
      </c>
    </row>
    <row r="94" spans="1:8" ht="18" x14ac:dyDescent="0.25">
      <c r="A94" s="10" t="s">
        <v>365</v>
      </c>
      <c r="B94" s="27" t="s">
        <v>366</v>
      </c>
      <c r="C94" s="27">
        <v>0.73</v>
      </c>
      <c r="D94" s="27" t="s">
        <v>570</v>
      </c>
      <c r="E94" s="27" t="s">
        <v>323</v>
      </c>
      <c r="F94" s="41">
        <v>-1.03</v>
      </c>
      <c r="G94" s="28">
        <v>0.27900000000000003</v>
      </c>
      <c r="H94" s="28">
        <v>1.1800000000000001E-9</v>
      </c>
    </row>
    <row r="95" spans="1:8" ht="18" x14ac:dyDescent="0.25">
      <c r="A95" s="10" t="s">
        <v>367</v>
      </c>
      <c r="B95" s="27" t="s">
        <v>368</v>
      </c>
      <c r="C95" s="27">
        <v>0.73</v>
      </c>
      <c r="D95" s="27" t="s">
        <v>540</v>
      </c>
      <c r="E95" s="27" t="s">
        <v>323</v>
      </c>
      <c r="F95" s="41">
        <v>-0.39</v>
      </c>
      <c r="G95" s="28">
        <v>7.7600000000000002E-2</v>
      </c>
      <c r="H95" s="28">
        <v>4.8499999999999998E-8</v>
      </c>
    </row>
    <row r="96" spans="1:8" ht="18" x14ac:dyDescent="0.25">
      <c r="A96" s="10" t="s">
        <v>369</v>
      </c>
      <c r="B96" s="27" t="s">
        <v>370</v>
      </c>
      <c r="C96" s="27">
        <v>0.83</v>
      </c>
      <c r="D96" s="27" t="s">
        <v>571</v>
      </c>
      <c r="E96" s="27" t="s">
        <v>323</v>
      </c>
      <c r="F96" s="41">
        <v>2.52</v>
      </c>
      <c r="G96" s="28" t="s">
        <v>561</v>
      </c>
      <c r="H96" s="28">
        <v>1.5299999999999999E-10</v>
      </c>
    </row>
    <row r="97" spans="1:8" ht="18" x14ac:dyDescent="0.25">
      <c r="A97" s="10" t="s">
        <v>371</v>
      </c>
      <c r="B97" s="27" t="s">
        <v>372</v>
      </c>
      <c r="C97" s="27">
        <v>0.37</v>
      </c>
      <c r="D97" s="27" t="s">
        <v>570</v>
      </c>
      <c r="E97" s="27" t="s">
        <v>323</v>
      </c>
      <c r="F97" s="41">
        <v>1.56</v>
      </c>
      <c r="G97" s="28">
        <v>1.3300000000000001E-4</v>
      </c>
      <c r="H97" s="28">
        <v>1.3300000000000001E-10</v>
      </c>
    </row>
    <row r="98" spans="1:8" x14ac:dyDescent="0.25">
      <c r="A98" s="10" t="s">
        <v>373</v>
      </c>
      <c r="B98" s="27" t="s">
        <v>374</v>
      </c>
      <c r="C98" s="27">
        <v>0.56999999999999995</v>
      </c>
      <c r="D98" s="27" t="s">
        <v>375</v>
      </c>
      <c r="E98" s="27" t="s">
        <v>376</v>
      </c>
      <c r="F98" s="41" t="s">
        <v>377</v>
      </c>
      <c r="G98" s="28" t="s">
        <v>560</v>
      </c>
      <c r="H98" s="28" t="s">
        <v>562</v>
      </c>
    </row>
    <row r="99" spans="1:8" x14ac:dyDescent="0.25">
      <c r="A99" s="10" t="s">
        <v>378</v>
      </c>
      <c r="B99" s="27" t="s">
        <v>379</v>
      </c>
      <c r="C99" s="27">
        <v>36.64</v>
      </c>
      <c r="D99" s="27" t="s">
        <v>380</v>
      </c>
      <c r="E99" s="27" t="s">
        <v>376</v>
      </c>
      <c r="F99" s="41">
        <v>4.92</v>
      </c>
      <c r="G99" s="28">
        <v>2.8500000000000002E-5</v>
      </c>
      <c r="H99" s="28">
        <v>7.23E-7</v>
      </c>
    </row>
    <row r="100" spans="1:8" x14ac:dyDescent="0.25">
      <c r="A100" s="10" t="s">
        <v>381</v>
      </c>
      <c r="B100" s="27" t="s">
        <v>382</v>
      </c>
      <c r="C100" s="27">
        <v>13.03</v>
      </c>
      <c r="D100" s="27" t="s">
        <v>383</v>
      </c>
      <c r="E100" s="27" t="s">
        <v>376</v>
      </c>
      <c r="F100" s="41">
        <v>3.47</v>
      </c>
      <c r="G100" s="28">
        <v>5.6099999999999998E-4</v>
      </c>
      <c r="H100" s="28">
        <v>6.8300000000000007E-5</v>
      </c>
    </row>
    <row r="101" spans="1:8" x14ac:dyDescent="0.25">
      <c r="A101" s="10" t="s">
        <v>384</v>
      </c>
      <c r="B101" s="27" t="s">
        <v>385</v>
      </c>
      <c r="C101" s="27">
        <v>10.44</v>
      </c>
      <c r="D101" s="27" t="s">
        <v>386</v>
      </c>
      <c r="E101" s="27" t="s">
        <v>376</v>
      </c>
      <c r="F101" s="41">
        <v>2.63</v>
      </c>
      <c r="G101" s="28">
        <v>5.3899999999999998E-4</v>
      </c>
      <c r="H101" s="28">
        <v>4.9300000000000001E-9</v>
      </c>
    </row>
    <row r="102" spans="1:8" x14ac:dyDescent="0.25">
      <c r="A102" s="10" t="s">
        <v>387</v>
      </c>
      <c r="B102" s="27" t="s">
        <v>388</v>
      </c>
      <c r="C102" s="27">
        <v>1.02</v>
      </c>
      <c r="D102" s="27" t="s">
        <v>389</v>
      </c>
      <c r="E102" s="27" t="s">
        <v>376</v>
      </c>
      <c r="F102" s="41">
        <v>4.51</v>
      </c>
      <c r="G102" s="28">
        <v>6.4099999999999996E-6</v>
      </c>
      <c r="H102" s="28">
        <v>6.2999999999999995E-8</v>
      </c>
    </row>
    <row r="103" spans="1:8" x14ac:dyDescent="0.25">
      <c r="A103" s="10" t="s">
        <v>390</v>
      </c>
      <c r="B103" s="27" t="s">
        <v>391</v>
      </c>
      <c r="C103" s="27">
        <v>16.329999999999998</v>
      </c>
      <c r="D103" s="27" t="s">
        <v>392</v>
      </c>
      <c r="E103" s="27" t="s">
        <v>376</v>
      </c>
      <c r="F103" s="41">
        <v>3.27</v>
      </c>
      <c r="G103" s="28">
        <v>1.4400000000000001E-3</v>
      </c>
      <c r="H103" s="28" t="s">
        <v>563</v>
      </c>
    </row>
    <row r="104" spans="1:8" x14ac:dyDescent="0.25">
      <c r="A104" s="10" t="s">
        <v>393</v>
      </c>
      <c r="B104" s="27" t="s">
        <v>394</v>
      </c>
      <c r="C104" s="27">
        <v>21.12</v>
      </c>
      <c r="D104" s="27" t="s">
        <v>395</v>
      </c>
      <c r="E104" s="27" t="s">
        <v>376</v>
      </c>
      <c r="F104" s="41">
        <v>4.05</v>
      </c>
      <c r="G104" s="28">
        <v>5.9100000000000005E-4</v>
      </c>
      <c r="H104" s="28">
        <v>2.6899999999999999E-8</v>
      </c>
    </row>
    <row r="105" spans="1:8" x14ac:dyDescent="0.25">
      <c r="A105" s="10" t="s">
        <v>396</v>
      </c>
      <c r="B105" s="27" t="s">
        <v>397</v>
      </c>
      <c r="C105" s="27">
        <v>35.64</v>
      </c>
      <c r="D105" s="27" t="s">
        <v>398</v>
      </c>
      <c r="E105" s="27" t="s">
        <v>376</v>
      </c>
      <c r="F105" s="41">
        <v>2.5299999999999998</v>
      </c>
      <c r="G105" s="28">
        <v>3.1900000000000001E-3</v>
      </c>
      <c r="H105" s="28">
        <v>3.8499999999999997E-9</v>
      </c>
    </row>
    <row r="106" spans="1:8" x14ac:dyDescent="0.25">
      <c r="A106" s="10" t="s">
        <v>399</v>
      </c>
      <c r="B106" s="27" t="s">
        <v>400</v>
      </c>
      <c r="C106" s="27">
        <v>5.69</v>
      </c>
      <c r="D106" s="27" t="s">
        <v>401</v>
      </c>
      <c r="E106" s="27" t="s">
        <v>376</v>
      </c>
      <c r="F106" s="41">
        <v>4.2699999999999996</v>
      </c>
      <c r="G106" s="28">
        <v>8.5399999999999996E-6</v>
      </c>
      <c r="H106" s="28">
        <v>7.61E-9</v>
      </c>
    </row>
    <row r="107" spans="1:8" x14ac:dyDescent="0.25">
      <c r="A107" s="10" t="s">
        <v>402</v>
      </c>
      <c r="B107" s="27" t="s">
        <v>403</v>
      </c>
      <c r="C107" s="27">
        <v>18.559999999999999</v>
      </c>
      <c r="D107" s="27" t="s">
        <v>404</v>
      </c>
      <c r="E107" s="27" t="s">
        <v>376</v>
      </c>
      <c r="F107" s="41">
        <v>4.51</v>
      </c>
      <c r="G107" s="28">
        <v>8.0400000000000003E-5</v>
      </c>
      <c r="H107" s="28">
        <v>3.8599999999999999E-7</v>
      </c>
    </row>
    <row r="108" spans="1:8" x14ac:dyDescent="0.25">
      <c r="A108" s="10" t="s">
        <v>405</v>
      </c>
      <c r="B108" s="27" t="s">
        <v>406</v>
      </c>
      <c r="C108" s="27">
        <v>5.07</v>
      </c>
      <c r="D108" s="27" t="s">
        <v>407</v>
      </c>
      <c r="E108" s="27" t="s">
        <v>376</v>
      </c>
      <c r="F108" s="41">
        <v>2.37</v>
      </c>
      <c r="G108" s="28">
        <v>1.0900000000000001E-4</v>
      </c>
      <c r="H108" s="28">
        <v>2.81E-9</v>
      </c>
    </row>
    <row r="109" spans="1:8" x14ac:dyDescent="0.25">
      <c r="A109" s="13" t="s">
        <v>408</v>
      </c>
      <c r="B109" s="29" t="s">
        <v>409</v>
      </c>
      <c r="C109" s="29">
        <v>6.34</v>
      </c>
      <c r="D109" s="29" t="s">
        <v>410</v>
      </c>
      <c r="E109" s="29" t="s">
        <v>376</v>
      </c>
      <c r="F109" s="43" t="s">
        <v>411</v>
      </c>
      <c r="G109" s="30" t="s">
        <v>564</v>
      </c>
      <c r="H109" s="30">
        <v>4.8900000000000001E-8</v>
      </c>
    </row>
    <row r="110" spans="1:8" x14ac:dyDescent="0.25">
      <c r="A110" s="1" t="s">
        <v>524</v>
      </c>
      <c r="B110" s="1"/>
      <c r="C110" s="1"/>
      <c r="D110" s="1"/>
      <c r="E110" s="1"/>
      <c r="F110" s="1"/>
      <c r="G110" s="1"/>
      <c r="H110" s="1"/>
    </row>
    <row r="111" spans="1:8" x14ac:dyDescent="0.25">
      <c r="A111" s="1" t="s">
        <v>525</v>
      </c>
      <c r="B111" s="1"/>
      <c r="C111" s="1"/>
      <c r="D111" s="1"/>
      <c r="E111" s="1"/>
      <c r="F111" s="1"/>
      <c r="G111" s="1"/>
      <c r="H111" s="1"/>
    </row>
  </sheetData>
  <mergeCells count="9">
    <mergeCell ref="G2:G3"/>
    <mergeCell ref="H2:H3"/>
    <mergeCell ref="C2:C3"/>
    <mergeCell ref="A1:H1"/>
    <mergeCell ref="A2:A3"/>
    <mergeCell ref="B2:B3"/>
    <mergeCell ref="D2:D3"/>
    <mergeCell ref="E2:E3"/>
    <mergeCell ref="F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24FC-E23E-48C9-B406-B56564A4CFB1}">
  <dimension ref="A1:F27"/>
  <sheetViews>
    <sheetView tabSelected="1" zoomScaleNormal="100" workbookViewId="0">
      <selection activeCell="J15" sqref="J15"/>
    </sheetView>
  </sheetViews>
  <sheetFormatPr defaultRowHeight="15" x14ac:dyDescent="0.25"/>
  <cols>
    <col min="1" max="1" width="44.28515625" bestFit="1" customWidth="1"/>
    <col min="2" max="2" width="11.42578125" bestFit="1" customWidth="1"/>
    <col min="3" max="3" width="13.85546875" customWidth="1"/>
    <col min="4" max="4" width="9.5703125" customWidth="1"/>
    <col min="5" max="5" width="15.140625" bestFit="1" customWidth="1"/>
    <col min="6" max="6" width="14.85546875" bestFit="1" customWidth="1"/>
  </cols>
  <sheetData>
    <row r="1" spans="1:6" x14ac:dyDescent="0.25">
      <c r="A1" s="50" t="s">
        <v>591</v>
      </c>
      <c r="B1" s="50"/>
      <c r="C1" s="50"/>
      <c r="D1" s="50"/>
      <c r="E1" s="50"/>
      <c r="F1" s="50"/>
    </row>
    <row r="2" spans="1:6" ht="15" customHeight="1" x14ac:dyDescent="0.25">
      <c r="A2" s="62" t="s">
        <v>106</v>
      </c>
      <c r="B2" s="62" t="s">
        <v>107</v>
      </c>
      <c r="C2" s="64" t="s">
        <v>619</v>
      </c>
      <c r="D2" s="62" t="s">
        <v>622</v>
      </c>
      <c r="E2" s="64" t="s">
        <v>623</v>
      </c>
      <c r="F2" s="66" t="s">
        <v>624</v>
      </c>
    </row>
    <row r="3" spans="1:6" x14ac:dyDescent="0.25">
      <c r="A3" s="63"/>
      <c r="B3" s="63"/>
      <c r="C3" s="65"/>
      <c r="D3" s="63"/>
      <c r="E3" s="65"/>
      <c r="F3" s="71"/>
    </row>
    <row r="4" spans="1:6" x14ac:dyDescent="0.25">
      <c r="A4" s="10" t="s">
        <v>1</v>
      </c>
      <c r="B4" s="25" t="s">
        <v>594</v>
      </c>
      <c r="C4" s="25">
        <v>0.45</v>
      </c>
      <c r="D4" s="42">
        <v>-7.0000000000000007E-2</v>
      </c>
      <c r="E4" s="26">
        <v>0.113</v>
      </c>
      <c r="F4" s="26">
        <v>1.61E-6</v>
      </c>
    </row>
    <row r="5" spans="1:6" x14ac:dyDescent="0.25">
      <c r="A5" s="10" t="s">
        <v>2</v>
      </c>
      <c r="B5" s="27" t="s">
        <v>595</v>
      </c>
      <c r="C5" s="27">
        <v>2.34</v>
      </c>
      <c r="D5" s="41">
        <v>4.78</v>
      </c>
      <c r="E5" s="28">
        <v>6.9099999999999999E-6</v>
      </c>
      <c r="F5" s="28">
        <v>9.5000000000000001E-7</v>
      </c>
    </row>
    <row r="6" spans="1:6" x14ac:dyDescent="0.25">
      <c r="A6" s="10" t="s">
        <v>3</v>
      </c>
      <c r="B6" s="27" t="s">
        <v>596</v>
      </c>
      <c r="C6" s="27">
        <v>17.600000000000001</v>
      </c>
      <c r="D6" s="41">
        <v>5.4</v>
      </c>
      <c r="E6" s="28">
        <v>6.2399999999999998E-7</v>
      </c>
      <c r="F6" s="28">
        <v>5.8900000000000004E-6</v>
      </c>
    </row>
    <row r="7" spans="1:6" x14ac:dyDescent="0.25">
      <c r="A7" s="10" t="s">
        <v>4</v>
      </c>
      <c r="B7" s="27" t="s">
        <v>597</v>
      </c>
      <c r="C7" s="27">
        <v>4.3899999999999997</v>
      </c>
      <c r="D7" s="41">
        <v>3.23</v>
      </c>
      <c r="E7" s="28">
        <v>1.1100000000000001E-3</v>
      </c>
      <c r="F7" s="28">
        <v>9.9999999999999995E-7</v>
      </c>
    </row>
    <row r="8" spans="1:6" x14ac:dyDescent="0.25">
      <c r="A8" s="10" t="s">
        <v>5</v>
      </c>
      <c r="B8" s="27" t="s">
        <v>598</v>
      </c>
      <c r="C8" s="27">
        <v>1.0900000000000001</v>
      </c>
      <c r="D8" s="41">
        <v>2.86</v>
      </c>
      <c r="E8" s="28">
        <v>1.7699999999999999E-4</v>
      </c>
      <c r="F8" s="28">
        <v>3.4999999999999999E-6</v>
      </c>
    </row>
    <row r="9" spans="1:6" x14ac:dyDescent="0.25">
      <c r="A9" s="10" t="s">
        <v>6</v>
      </c>
      <c r="B9" s="27" t="s">
        <v>599</v>
      </c>
      <c r="C9" s="27">
        <v>7.26</v>
      </c>
      <c r="D9" s="41">
        <v>4.0199999999999996</v>
      </c>
      <c r="E9" s="28">
        <v>6.7100000000000005E-5</v>
      </c>
      <c r="F9" s="28">
        <v>9.7499999999999998E-5</v>
      </c>
    </row>
    <row r="10" spans="1:6" x14ac:dyDescent="0.25">
      <c r="A10" s="10" t="s">
        <v>7</v>
      </c>
      <c r="B10" s="27" t="s">
        <v>600</v>
      </c>
      <c r="C10" s="27">
        <v>2.4900000000000002</v>
      </c>
      <c r="D10" s="41">
        <v>1.43</v>
      </c>
      <c r="E10" s="28" t="s">
        <v>617</v>
      </c>
      <c r="F10" s="28">
        <v>1.5800000000000002E-2</v>
      </c>
    </row>
    <row r="11" spans="1:6" x14ac:dyDescent="0.25">
      <c r="A11" s="10" t="s">
        <v>10</v>
      </c>
      <c r="B11" s="27" t="s">
        <v>602</v>
      </c>
      <c r="C11" s="27">
        <v>8.15</v>
      </c>
      <c r="D11" s="41">
        <v>-0.8</v>
      </c>
      <c r="E11" s="27">
        <v>5.2</v>
      </c>
      <c r="F11" s="28">
        <v>3.5299999999999997E-5</v>
      </c>
    </row>
    <row r="12" spans="1:6" x14ac:dyDescent="0.25">
      <c r="A12" s="10" t="s">
        <v>9</v>
      </c>
      <c r="B12" s="27" t="s">
        <v>603</v>
      </c>
      <c r="C12" s="27">
        <v>4.91</v>
      </c>
      <c r="D12" s="41">
        <v>5.07</v>
      </c>
      <c r="E12" s="28">
        <v>4.6500000000000004E-6</v>
      </c>
      <c r="F12" s="28">
        <v>1.5E-6</v>
      </c>
    </row>
    <row r="13" spans="1:6" x14ac:dyDescent="0.25">
      <c r="A13" s="10" t="s">
        <v>8</v>
      </c>
      <c r="B13" s="27" t="s">
        <v>601</v>
      </c>
      <c r="C13" s="27">
        <v>0.72</v>
      </c>
      <c r="D13" s="41">
        <v>0.78</v>
      </c>
      <c r="E13" s="28">
        <v>0.14399999999999999</v>
      </c>
      <c r="F13" s="28">
        <v>1.8700000000000001E-5</v>
      </c>
    </row>
    <row r="14" spans="1:6" x14ac:dyDescent="0.25">
      <c r="A14" s="10" t="s">
        <v>11</v>
      </c>
      <c r="B14" s="27" t="s">
        <v>604</v>
      </c>
      <c r="C14" s="27">
        <v>6.5</v>
      </c>
      <c r="D14" s="41">
        <v>5.7</v>
      </c>
      <c r="E14" s="28">
        <v>6.0100000000000001E-6</v>
      </c>
      <c r="F14" s="28">
        <v>5.3000000000000001E-6</v>
      </c>
    </row>
    <row r="15" spans="1:6" x14ac:dyDescent="0.25">
      <c r="A15" s="10" t="s">
        <v>12</v>
      </c>
      <c r="B15" s="27" t="s">
        <v>605</v>
      </c>
      <c r="C15" s="27">
        <v>0.15</v>
      </c>
      <c r="D15" s="41">
        <v>-0.85</v>
      </c>
      <c r="E15" s="28">
        <v>4.42</v>
      </c>
      <c r="F15" s="28">
        <v>1.7E-6</v>
      </c>
    </row>
    <row r="16" spans="1:6" x14ac:dyDescent="0.25">
      <c r="A16" s="10" t="s">
        <v>13</v>
      </c>
      <c r="B16" s="27" t="s">
        <v>606</v>
      </c>
      <c r="C16" s="27">
        <v>0.31</v>
      </c>
      <c r="D16" s="41">
        <v>1.98</v>
      </c>
      <c r="E16" s="28">
        <v>1.2899999999999999E-3</v>
      </c>
      <c r="F16" s="28">
        <v>1.47E-4</v>
      </c>
    </row>
    <row r="17" spans="1:6" x14ac:dyDescent="0.25">
      <c r="A17" s="10" t="s">
        <v>581</v>
      </c>
      <c r="B17" s="27" t="s">
        <v>607</v>
      </c>
      <c r="C17" s="27">
        <v>2.2400000000000002</v>
      </c>
      <c r="D17" s="41">
        <v>1.38</v>
      </c>
      <c r="E17" s="28">
        <v>3.5000000000000001E-3</v>
      </c>
      <c r="F17" s="28">
        <v>2.0000000000000001E-4</v>
      </c>
    </row>
    <row r="18" spans="1:6" x14ac:dyDescent="0.25">
      <c r="A18" s="10" t="s">
        <v>14</v>
      </c>
      <c r="B18" s="27" t="s">
        <v>608</v>
      </c>
      <c r="C18" s="27">
        <v>0.66</v>
      </c>
      <c r="D18" s="41">
        <v>2.36</v>
      </c>
      <c r="E18" s="28">
        <v>4.3800000000000002E-4</v>
      </c>
      <c r="F18" s="28">
        <v>3.3799999999999998E-6</v>
      </c>
    </row>
    <row r="19" spans="1:6" x14ac:dyDescent="0.25">
      <c r="A19" s="10" t="s">
        <v>15</v>
      </c>
      <c r="B19" s="27" t="s">
        <v>609</v>
      </c>
      <c r="C19" s="27">
        <v>4.2</v>
      </c>
      <c r="D19" s="41">
        <v>4.2</v>
      </c>
      <c r="E19" s="28">
        <v>3.6699999999999998E-5</v>
      </c>
      <c r="F19" s="28">
        <v>1.5E-5</v>
      </c>
    </row>
    <row r="20" spans="1:6" x14ac:dyDescent="0.25">
      <c r="A20" s="10" t="s">
        <v>16</v>
      </c>
      <c r="B20" s="27" t="s">
        <v>610</v>
      </c>
      <c r="C20" s="27">
        <v>2.1800000000000002</v>
      </c>
      <c r="D20" s="41">
        <v>1.52</v>
      </c>
      <c r="E20" s="28">
        <v>8.9499999999999996E-3</v>
      </c>
      <c r="F20" s="28">
        <v>9.6800000000000005E-6</v>
      </c>
    </row>
    <row r="21" spans="1:6" x14ac:dyDescent="0.25">
      <c r="A21" s="10" t="s">
        <v>17</v>
      </c>
      <c r="B21" s="27" t="s">
        <v>611</v>
      </c>
      <c r="C21" s="27">
        <v>2.14</v>
      </c>
      <c r="D21" s="41">
        <v>1.97</v>
      </c>
      <c r="E21" s="28">
        <v>1.82E-3</v>
      </c>
      <c r="F21" s="28">
        <v>4.8500000000000002E-6</v>
      </c>
    </row>
    <row r="22" spans="1:6" x14ac:dyDescent="0.25">
      <c r="A22" s="10" t="s">
        <v>18</v>
      </c>
      <c r="B22" s="27" t="s">
        <v>612</v>
      </c>
      <c r="C22" s="27">
        <v>1.39</v>
      </c>
      <c r="D22" s="41">
        <v>2.78</v>
      </c>
      <c r="E22" s="28">
        <v>6.7500000000000001E-5</v>
      </c>
      <c r="F22" s="28">
        <v>4.8999999999999997E-7</v>
      </c>
    </row>
    <row r="23" spans="1:6" x14ac:dyDescent="0.25">
      <c r="A23" s="10" t="s">
        <v>19</v>
      </c>
      <c r="B23" s="27" t="s">
        <v>613</v>
      </c>
      <c r="C23" s="27">
        <v>15.1</v>
      </c>
      <c r="D23" s="41">
        <v>5.7</v>
      </c>
      <c r="E23" s="28">
        <v>6.5400000000000001E-7</v>
      </c>
      <c r="F23" s="28">
        <v>3.8399999999999997E-6</v>
      </c>
    </row>
    <row r="24" spans="1:6" x14ac:dyDescent="0.25">
      <c r="A24" s="10" t="s">
        <v>20</v>
      </c>
      <c r="B24" s="27" t="s">
        <v>614</v>
      </c>
      <c r="C24" s="27">
        <v>12.4</v>
      </c>
      <c r="D24" s="41">
        <v>1.34</v>
      </c>
      <c r="E24" s="28">
        <v>1.83E-3</v>
      </c>
      <c r="F24" s="28">
        <v>9.0499999999999997E-6</v>
      </c>
    </row>
    <row r="25" spans="1:6" x14ac:dyDescent="0.25">
      <c r="A25" s="10" t="s">
        <v>21</v>
      </c>
      <c r="B25" s="27" t="s">
        <v>615</v>
      </c>
      <c r="C25" s="27">
        <v>11.06</v>
      </c>
      <c r="D25" s="41">
        <v>4.74</v>
      </c>
      <c r="E25" s="28">
        <v>3.5299999999999997E-5</v>
      </c>
      <c r="F25" s="28">
        <v>2.2000000000000001E-6</v>
      </c>
    </row>
    <row r="26" spans="1:6" x14ac:dyDescent="0.25">
      <c r="A26" s="13" t="s">
        <v>22</v>
      </c>
      <c r="B26" s="29" t="s">
        <v>616</v>
      </c>
      <c r="C26" s="29">
        <v>2.21</v>
      </c>
      <c r="D26" s="43">
        <v>-2.82</v>
      </c>
      <c r="E26" s="29">
        <v>3.34</v>
      </c>
      <c r="F26" s="30">
        <v>0.14799999999999999</v>
      </c>
    </row>
    <row r="27" spans="1:6" x14ac:dyDescent="0.25">
      <c r="A27" s="1" t="s">
        <v>593</v>
      </c>
      <c r="B27" s="1"/>
      <c r="C27" s="1"/>
      <c r="D27" s="1"/>
      <c r="E27" s="1"/>
      <c r="F27" s="1"/>
    </row>
  </sheetData>
  <mergeCells count="7">
    <mergeCell ref="A1:F1"/>
    <mergeCell ref="A2:A3"/>
    <mergeCell ref="B2:B3"/>
    <mergeCell ref="C2:C3"/>
    <mergeCell ref="D2:D3"/>
    <mergeCell ref="E2:E3"/>
    <mergeCell ref="F2: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F1FD-C686-994D-9C84-C316AAACED3E}">
  <dimension ref="A1:Z77"/>
  <sheetViews>
    <sheetView topLeftCell="J1" zoomScale="75" zoomScaleNormal="75" workbookViewId="0">
      <selection activeCell="B5" sqref="B5"/>
    </sheetView>
  </sheetViews>
  <sheetFormatPr defaultColWidth="10.85546875" defaultRowHeight="15" x14ac:dyDescent="0.25"/>
  <cols>
    <col min="1" max="1" width="20.5703125" customWidth="1"/>
    <col min="2" max="2" width="74.85546875" bestFit="1" customWidth="1"/>
    <col min="3" max="25" width="17.140625" customWidth="1"/>
  </cols>
  <sheetData>
    <row r="1" spans="1:25" x14ac:dyDescent="0.25">
      <c r="A1" s="17" t="s">
        <v>590</v>
      </c>
      <c r="B1" s="17"/>
      <c r="C1" s="17"/>
      <c r="D1" s="17"/>
      <c r="E1" s="17"/>
      <c r="F1" s="17"/>
      <c r="G1" s="17"/>
      <c r="H1" s="17"/>
      <c r="I1" s="17"/>
      <c r="J1" s="17"/>
      <c r="K1" s="17"/>
      <c r="L1" s="17"/>
      <c r="M1" s="17"/>
      <c r="N1" s="17"/>
      <c r="O1" s="17"/>
      <c r="P1" s="17"/>
      <c r="Q1" s="17"/>
      <c r="R1" s="17"/>
      <c r="S1" s="17"/>
      <c r="T1" s="17"/>
      <c r="U1" s="17"/>
      <c r="V1" s="17"/>
      <c r="W1" s="17"/>
      <c r="X1" s="17"/>
      <c r="Y1" s="17"/>
    </row>
    <row r="2" spans="1:25" s="1" customFormat="1" ht="60" x14ac:dyDescent="0.25">
      <c r="A2" s="67" t="s">
        <v>0</v>
      </c>
      <c r="B2" s="68"/>
      <c r="C2" s="38" t="s">
        <v>1</v>
      </c>
      <c r="D2" s="37" t="s">
        <v>2</v>
      </c>
      <c r="E2" s="39" t="s">
        <v>3</v>
      </c>
      <c r="F2" s="39" t="s">
        <v>4</v>
      </c>
      <c r="G2" s="39" t="s">
        <v>5</v>
      </c>
      <c r="H2" s="39" t="s">
        <v>6</v>
      </c>
      <c r="I2" s="39" t="s">
        <v>7</v>
      </c>
      <c r="J2" s="39" t="s">
        <v>8</v>
      </c>
      <c r="K2" s="39" t="s">
        <v>9</v>
      </c>
      <c r="L2" s="39" t="s">
        <v>10</v>
      </c>
      <c r="M2" s="39" t="s">
        <v>11</v>
      </c>
      <c r="N2" s="39" t="s">
        <v>12</v>
      </c>
      <c r="O2" s="39" t="s">
        <v>13</v>
      </c>
      <c r="P2" s="39" t="s">
        <v>98</v>
      </c>
      <c r="Q2" s="39" t="s">
        <v>14</v>
      </c>
      <c r="R2" s="39" t="s">
        <v>15</v>
      </c>
      <c r="S2" s="39" t="s">
        <v>16</v>
      </c>
      <c r="T2" s="39" t="s">
        <v>17</v>
      </c>
      <c r="U2" s="39" t="s">
        <v>18</v>
      </c>
      <c r="V2" s="40" t="s">
        <v>19</v>
      </c>
      <c r="W2" s="39" t="s">
        <v>20</v>
      </c>
      <c r="X2" s="40" t="s">
        <v>21</v>
      </c>
      <c r="Y2" s="39" t="s">
        <v>22</v>
      </c>
    </row>
    <row r="3" spans="1:25" s="1" customFormat="1" x14ac:dyDescent="0.25">
      <c r="A3" s="67" t="s">
        <v>103</v>
      </c>
      <c r="B3" s="68"/>
      <c r="C3" s="21">
        <v>1000</v>
      </c>
      <c r="D3" s="18">
        <v>1000</v>
      </c>
      <c r="E3" s="19" t="s">
        <v>95</v>
      </c>
      <c r="F3" s="18">
        <v>1000</v>
      </c>
      <c r="G3" s="19" t="s">
        <v>97</v>
      </c>
      <c r="H3" s="18">
        <v>1000</v>
      </c>
      <c r="I3" s="18">
        <v>1000</v>
      </c>
      <c r="J3" s="18">
        <v>1000</v>
      </c>
      <c r="K3" s="18">
        <v>1000</v>
      </c>
      <c r="L3" s="18">
        <v>1000</v>
      </c>
      <c r="M3" s="18">
        <v>1000</v>
      </c>
      <c r="N3" s="18">
        <v>1000</v>
      </c>
      <c r="O3" s="18">
        <v>1000</v>
      </c>
      <c r="P3" s="19" t="s">
        <v>99</v>
      </c>
      <c r="Q3" s="19" t="s">
        <v>100</v>
      </c>
      <c r="R3" s="18">
        <v>1000</v>
      </c>
      <c r="S3" s="18">
        <v>1000</v>
      </c>
      <c r="T3" s="18">
        <v>1000</v>
      </c>
      <c r="U3" s="18">
        <v>1000</v>
      </c>
      <c r="V3" s="19" t="s">
        <v>101</v>
      </c>
      <c r="W3" s="18">
        <v>1000</v>
      </c>
      <c r="X3" s="18" t="s">
        <v>102</v>
      </c>
      <c r="Y3" s="20">
        <v>1000</v>
      </c>
    </row>
    <row r="4" spans="1:25" s="1" customFormat="1" x14ac:dyDescent="0.25">
      <c r="A4" s="67" t="s">
        <v>104</v>
      </c>
      <c r="B4" s="68"/>
      <c r="C4" s="22">
        <f t="shared" ref="C4:Y4" si="0">GEOMEAN(C5:C78)</f>
        <v>2.6995369973386176</v>
      </c>
      <c r="D4" s="23">
        <f t="shared" si="0"/>
        <v>24.95999799679479</v>
      </c>
      <c r="E4" s="23">
        <f t="shared" si="0"/>
        <v>0.26035813753403159</v>
      </c>
      <c r="F4" s="23">
        <f t="shared" si="0"/>
        <v>19.573532813865587</v>
      </c>
      <c r="G4" s="23">
        <f t="shared" si="0"/>
        <v>17.747406788865433</v>
      </c>
      <c r="H4" s="23">
        <f t="shared" si="0"/>
        <v>5.1586238475004169</v>
      </c>
      <c r="I4" s="23">
        <f t="shared" si="0"/>
        <v>4.7779493509245157</v>
      </c>
      <c r="J4" s="23">
        <f t="shared" si="0"/>
        <v>39.529690127116012</v>
      </c>
      <c r="K4" s="23">
        <f t="shared" si="0"/>
        <v>22.171695006765226</v>
      </c>
      <c r="L4" s="23">
        <f t="shared" si="0"/>
        <v>15</v>
      </c>
      <c r="M4" s="23">
        <f t="shared" si="0"/>
        <v>53.689779099413926</v>
      </c>
      <c r="N4" s="23">
        <f t="shared" si="0"/>
        <v>0.43030186348372973</v>
      </c>
      <c r="O4" s="23">
        <f t="shared" si="0"/>
        <v>9.7169263258082434</v>
      </c>
      <c r="P4" s="23">
        <f t="shared" si="0"/>
        <v>10.228531418902008</v>
      </c>
      <c r="Q4" s="23">
        <f t="shared" si="0"/>
        <v>13.091053551521803</v>
      </c>
      <c r="R4" s="23">
        <f t="shared" si="0"/>
        <v>48.139293489967841</v>
      </c>
      <c r="S4" s="23">
        <f t="shared" si="0"/>
        <v>5.09</v>
      </c>
      <c r="T4" s="23">
        <f t="shared" si="0"/>
        <v>7.4992607600876102</v>
      </c>
      <c r="U4" s="23">
        <f t="shared" si="0"/>
        <v>32.08656981698001</v>
      </c>
      <c r="V4" s="23">
        <f t="shared" si="0"/>
        <v>2.7694922000815252</v>
      </c>
      <c r="W4" s="23">
        <f t="shared" si="0"/>
        <v>19.06475692922022</v>
      </c>
      <c r="X4" s="23">
        <f t="shared" si="0"/>
        <v>14.33</v>
      </c>
      <c r="Y4" s="24">
        <f t="shared" si="0"/>
        <v>5.5757583541957159</v>
      </c>
    </row>
    <row r="5" spans="1:25" s="1" customFormat="1" x14ac:dyDescent="0.25">
      <c r="A5" s="69" t="s">
        <v>105</v>
      </c>
      <c r="B5" s="4" t="s">
        <v>46</v>
      </c>
      <c r="C5" s="4"/>
      <c r="D5" s="3"/>
      <c r="E5" s="3"/>
      <c r="F5" s="3"/>
      <c r="G5" s="3">
        <v>23.3</v>
      </c>
      <c r="H5" s="3"/>
      <c r="I5" s="3"/>
      <c r="J5" s="3"/>
      <c r="K5" s="3"/>
      <c r="L5" s="3"/>
      <c r="M5" s="3">
        <v>92.91</v>
      </c>
      <c r="N5" s="3"/>
      <c r="O5" s="3"/>
      <c r="P5" s="3">
        <v>30.42</v>
      </c>
      <c r="Q5" s="3">
        <v>15</v>
      </c>
      <c r="R5" s="3"/>
      <c r="S5" s="3"/>
      <c r="T5" s="3"/>
      <c r="U5" s="3"/>
      <c r="V5" s="3"/>
      <c r="W5" s="3"/>
      <c r="X5" s="3"/>
      <c r="Y5" s="5"/>
    </row>
    <row r="6" spans="1:25" s="1" customFormat="1" x14ac:dyDescent="0.25">
      <c r="A6" s="70"/>
      <c r="B6" s="4" t="s">
        <v>51</v>
      </c>
      <c r="C6" s="4"/>
      <c r="D6" s="3"/>
      <c r="E6" s="3"/>
      <c r="F6" s="3"/>
      <c r="G6" s="3">
        <v>28.77</v>
      </c>
      <c r="H6" s="3"/>
      <c r="I6" s="3"/>
      <c r="J6" s="3"/>
      <c r="K6" s="3"/>
      <c r="L6" s="3"/>
      <c r="M6" s="3">
        <v>94.2</v>
      </c>
      <c r="N6" s="3"/>
      <c r="O6" s="3"/>
      <c r="P6" s="3">
        <v>31.54</v>
      </c>
      <c r="Q6" s="3"/>
      <c r="R6" s="3">
        <v>93.58</v>
      </c>
      <c r="S6" s="3"/>
      <c r="T6" s="3"/>
      <c r="U6" s="3"/>
      <c r="V6" s="3"/>
      <c r="W6" s="3"/>
      <c r="X6" s="3"/>
      <c r="Y6" s="5"/>
    </row>
    <row r="7" spans="1:25" s="1" customFormat="1" x14ac:dyDescent="0.25">
      <c r="A7" s="70"/>
      <c r="B7" s="1" t="s">
        <v>49</v>
      </c>
      <c r="C7" s="11"/>
      <c r="G7" s="1">
        <v>27.99</v>
      </c>
      <c r="M7" s="1">
        <v>93.46</v>
      </c>
      <c r="P7" s="1">
        <v>29.37</v>
      </c>
      <c r="R7" s="1">
        <v>93.54</v>
      </c>
      <c r="Y7" s="12"/>
    </row>
    <row r="8" spans="1:25" s="1" customFormat="1" x14ac:dyDescent="0.25">
      <c r="A8" s="70"/>
      <c r="B8" s="4" t="s">
        <v>36</v>
      </c>
      <c r="C8" s="4"/>
      <c r="D8" s="3"/>
      <c r="E8" s="3"/>
      <c r="F8" s="3"/>
      <c r="G8" s="3">
        <v>2.98</v>
      </c>
      <c r="H8" s="3"/>
      <c r="I8" s="3"/>
      <c r="J8" s="3"/>
      <c r="K8" s="3"/>
      <c r="L8" s="3"/>
      <c r="M8" s="3">
        <v>93.81</v>
      </c>
      <c r="N8" s="3"/>
      <c r="O8" s="3"/>
      <c r="P8" s="3">
        <v>30.17</v>
      </c>
      <c r="Q8" s="3">
        <v>27.56</v>
      </c>
      <c r="R8" s="3">
        <v>91.81</v>
      </c>
      <c r="S8" s="3"/>
      <c r="T8" s="3"/>
      <c r="U8" s="3"/>
      <c r="V8" s="3"/>
      <c r="W8" s="3"/>
      <c r="X8" s="3"/>
      <c r="Y8" s="5"/>
    </row>
    <row r="9" spans="1:25" s="1" customFormat="1" x14ac:dyDescent="0.25">
      <c r="A9" s="70"/>
      <c r="B9" s="1" t="s">
        <v>55</v>
      </c>
      <c r="C9" s="11"/>
      <c r="J9" s="1">
        <v>50</v>
      </c>
      <c r="M9" s="1">
        <v>50</v>
      </c>
      <c r="P9" s="1">
        <v>50</v>
      </c>
      <c r="Q9" s="1">
        <v>50</v>
      </c>
      <c r="R9" s="1">
        <v>67.03</v>
      </c>
      <c r="Y9" s="12"/>
    </row>
    <row r="10" spans="1:25" s="1" customFormat="1" x14ac:dyDescent="0.25">
      <c r="A10" s="70"/>
      <c r="B10" s="1" t="s">
        <v>60</v>
      </c>
      <c r="C10" s="11"/>
      <c r="J10" s="1">
        <v>50</v>
      </c>
      <c r="Y10" s="12"/>
    </row>
    <row r="11" spans="1:25" s="1" customFormat="1" x14ac:dyDescent="0.25">
      <c r="A11" s="70"/>
      <c r="B11" s="4" t="s">
        <v>40</v>
      </c>
      <c r="C11" s="4"/>
      <c r="D11" s="3"/>
      <c r="E11" s="3"/>
      <c r="F11" s="3"/>
      <c r="G11" s="3">
        <v>15</v>
      </c>
      <c r="H11" s="3"/>
      <c r="I11" s="3"/>
      <c r="J11" s="3">
        <v>50</v>
      </c>
      <c r="K11" s="3"/>
      <c r="L11" s="3"/>
      <c r="M11" s="3">
        <v>50</v>
      </c>
      <c r="N11" s="3"/>
      <c r="O11" s="3"/>
      <c r="P11" s="3">
        <v>32.51</v>
      </c>
      <c r="Q11" s="3">
        <v>61.96</v>
      </c>
      <c r="R11" s="3">
        <v>78.790000000000006</v>
      </c>
      <c r="S11" s="3"/>
      <c r="T11" s="3"/>
      <c r="U11" s="3"/>
      <c r="V11" s="3"/>
      <c r="W11" s="3"/>
      <c r="X11" s="3"/>
      <c r="Y11" s="5"/>
    </row>
    <row r="12" spans="1:25" s="1" customFormat="1" x14ac:dyDescent="0.25">
      <c r="A12" s="70"/>
      <c r="B12" s="1" t="s">
        <v>41</v>
      </c>
      <c r="C12" s="11"/>
      <c r="G12" s="1">
        <v>15</v>
      </c>
      <c r="J12" s="1">
        <v>50</v>
      </c>
      <c r="M12" s="1">
        <v>66.349999999999994</v>
      </c>
      <c r="P12" s="1">
        <v>50</v>
      </c>
      <c r="Q12" s="1">
        <v>50</v>
      </c>
      <c r="R12" s="1">
        <v>92.19</v>
      </c>
      <c r="Y12" s="12"/>
    </row>
    <row r="13" spans="1:25" s="1" customFormat="1" x14ac:dyDescent="0.25">
      <c r="A13" s="70"/>
      <c r="B13" s="4" t="s">
        <v>44</v>
      </c>
      <c r="C13" s="4"/>
      <c r="D13" s="3"/>
      <c r="E13" s="3"/>
      <c r="F13" s="3"/>
      <c r="G13" s="3">
        <v>22.18</v>
      </c>
      <c r="H13" s="3"/>
      <c r="I13" s="3"/>
      <c r="J13" s="3">
        <v>50</v>
      </c>
      <c r="K13" s="3"/>
      <c r="L13" s="3"/>
      <c r="M13" s="3">
        <v>96.17</v>
      </c>
      <c r="N13" s="3"/>
      <c r="O13" s="3"/>
      <c r="P13" s="3"/>
      <c r="Q13" s="3">
        <v>50</v>
      </c>
      <c r="R13" s="3">
        <v>9.92</v>
      </c>
      <c r="S13" s="3"/>
      <c r="T13" s="3"/>
      <c r="U13" s="3"/>
      <c r="V13" s="3"/>
      <c r="W13" s="3"/>
      <c r="X13" s="3"/>
      <c r="Y13" s="5"/>
    </row>
    <row r="14" spans="1:25" s="1" customFormat="1" x14ac:dyDescent="0.25">
      <c r="A14" s="70"/>
      <c r="B14" s="1" t="s">
        <v>61</v>
      </c>
      <c r="C14" s="11"/>
      <c r="J14" s="1">
        <v>50</v>
      </c>
      <c r="M14" s="1">
        <v>74.36</v>
      </c>
      <c r="P14" s="1">
        <v>23.24</v>
      </c>
      <c r="Q14" s="1">
        <v>50</v>
      </c>
      <c r="Y14" s="12"/>
    </row>
    <row r="15" spans="1:25" s="1" customFormat="1" x14ac:dyDescent="0.25">
      <c r="A15" s="70"/>
      <c r="B15" s="4" t="s">
        <v>88</v>
      </c>
      <c r="C15" s="4"/>
      <c r="D15" s="3"/>
      <c r="E15" s="3"/>
      <c r="F15" s="3"/>
      <c r="G15" s="3"/>
      <c r="H15" s="3"/>
      <c r="I15" s="3"/>
      <c r="J15" s="3"/>
      <c r="K15" s="3"/>
      <c r="L15" s="3"/>
      <c r="M15" s="3"/>
      <c r="N15" s="3"/>
      <c r="O15" s="3"/>
      <c r="P15" s="3"/>
      <c r="Q15" s="3"/>
      <c r="R15" s="3">
        <v>70.75</v>
      </c>
      <c r="S15" s="3"/>
      <c r="T15" s="3"/>
      <c r="U15" s="3">
        <v>50</v>
      </c>
      <c r="V15" s="3"/>
      <c r="W15" s="3"/>
      <c r="X15" s="3"/>
      <c r="Y15" s="5"/>
    </row>
    <row r="16" spans="1:25" s="1" customFormat="1" x14ac:dyDescent="0.25">
      <c r="A16" s="70"/>
      <c r="B16" s="1" t="s">
        <v>87</v>
      </c>
      <c r="C16" s="11"/>
      <c r="R16" s="1">
        <v>92.23</v>
      </c>
      <c r="U16" s="1">
        <v>68.62</v>
      </c>
      <c r="Y16" s="12"/>
    </row>
    <row r="17" spans="1:25" s="1" customFormat="1" x14ac:dyDescent="0.25">
      <c r="A17" s="70"/>
      <c r="B17" s="4" t="s">
        <v>86</v>
      </c>
      <c r="C17" s="4"/>
      <c r="D17" s="3"/>
      <c r="E17" s="3"/>
      <c r="F17" s="3"/>
      <c r="G17" s="3"/>
      <c r="H17" s="3"/>
      <c r="I17" s="3"/>
      <c r="J17" s="3"/>
      <c r="K17" s="3"/>
      <c r="L17" s="3"/>
      <c r="M17" s="3"/>
      <c r="N17" s="3"/>
      <c r="O17" s="3"/>
      <c r="P17" s="3"/>
      <c r="Q17" s="3"/>
      <c r="R17" s="3">
        <v>75.09</v>
      </c>
      <c r="S17" s="3"/>
      <c r="T17" s="3"/>
      <c r="U17" s="3">
        <v>50</v>
      </c>
      <c r="V17" s="3"/>
      <c r="W17" s="3"/>
      <c r="X17" s="3"/>
      <c r="Y17" s="5"/>
    </row>
    <row r="18" spans="1:25" s="1" customFormat="1" x14ac:dyDescent="0.25">
      <c r="A18" s="70"/>
      <c r="B18" s="1" t="s">
        <v>85</v>
      </c>
      <c r="C18" s="11"/>
      <c r="Q18" s="1">
        <v>50</v>
      </c>
      <c r="R18" s="1">
        <v>50</v>
      </c>
      <c r="U18" s="1">
        <v>50</v>
      </c>
      <c r="Y18" s="12"/>
    </row>
    <row r="19" spans="1:25" s="1" customFormat="1" x14ac:dyDescent="0.25">
      <c r="A19" s="70"/>
      <c r="B19" s="4" t="s">
        <v>68</v>
      </c>
      <c r="C19" s="4"/>
      <c r="D19" s="3"/>
      <c r="E19" s="3"/>
      <c r="F19" s="3"/>
      <c r="G19" s="3"/>
      <c r="H19" s="3"/>
      <c r="I19" s="3"/>
      <c r="J19" s="3"/>
      <c r="K19" s="3"/>
      <c r="L19" s="3"/>
      <c r="M19" s="3">
        <v>36.07</v>
      </c>
      <c r="N19" s="3"/>
      <c r="O19" s="3"/>
      <c r="P19" s="3">
        <v>0.59</v>
      </c>
      <c r="Q19" s="3"/>
      <c r="R19" s="3">
        <v>77.180000000000007</v>
      </c>
      <c r="S19" s="3"/>
      <c r="T19" s="3"/>
      <c r="U19" s="3"/>
      <c r="V19" s="3"/>
      <c r="W19" s="3"/>
      <c r="X19" s="3"/>
      <c r="Y19" s="5"/>
    </row>
    <row r="20" spans="1:25" s="1" customFormat="1" x14ac:dyDescent="0.25">
      <c r="A20" s="70"/>
      <c r="B20" s="1" t="s">
        <v>66</v>
      </c>
      <c r="C20" s="11"/>
      <c r="M20" s="1">
        <v>66.87</v>
      </c>
      <c r="P20" s="1">
        <v>17.79</v>
      </c>
      <c r="R20" s="1">
        <v>69.72</v>
      </c>
      <c r="Y20" s="12"/>
    </row>
    <row r="21" spans="1:25" s="1" customFormat="1" x14ac:dyDescent="0.25">
      <c r="A21" s="70"/>
      <c r="B21" s="4" t="s">
        <v>65</v>
      </c>
      <c r="C21" s="4"/>
      <c r="D21" s="3"/>
      <c r="E21" s="3"/>
      <c r="F21" s="3"/>
      <c r="G21" s="3"/>
      <c r="H21" s="3"/>
      <c r="I21" s="3"/>
      <c r="J21" s="3"/>
      <c r="K21" s="3"/>
      <c r="L21" s="3"/>
      <c r="M21" s="3">
        <v>50</v>
      </c>
      <c r="N21" s="3"/>
      <c r="O21" s="3"/>
      <c r="P21" s="3">
        <v>13.97</v>
      </c>
      <c r="Q21" s="3"/>
      <c r="R21" s="3"/>
      <c r="S21" s="3"/>
      <c r="T21" s="3"/>
      <c r="U21" s="3"/>
      <c r="V21" s="3"/>
      <c r="W21" s="3"/>
      <c r="X21" s="3"/>
      <c r="Y21" s="5"/>
    </row>
    <row r="22" spans="1:25" s="1" customFormat="1" x14ac:dyDescent="0.25">
      <c r="A22" s="70"/>
      <c r="B22" s="1" t="s">
        <v>32</v>
      </c>
      <c r="C22" s="11"/>
      <c r="E22" s="1">
        <v>1.05</v>
      </c>
      <c r="Y22" s="12"/>
    </row>
    <row r="23" spans="1:25" s="1" customFormat="1" x14ac:dyDescent="0.25">
      <c r="A23" s="70"/>
      <c r="B23" s="4" t="s">
        <v>29</v>
      </c>
      <c r="C23" s="4"/>
      <c r="D23" s="3"/>
      <c r="E23" s="3">
        <v>0.02</v>
      </c>
      <c r="F23" s="3">
        <v>37.01</v>
      </c>
      <c r="G23" s="3"/>
      <c r="H23" s="3"/>
      <c r="I23" s="3"/>
      <c r="J23" s="3"/>
      <c r="K23" s="3">
        <v>20</v>
      </c>
      <c r="L23" s="3"/>
      <c r="M23" s="3"/>
      <c r="N23" s="3">
        <v>0.79</v>
      </c>
      <c r="O23" s="3"/>
      <c r="P23" s="3"/>
      <c r="Q23" s="3"/>
      <c r="R23" s="3"/>
      <c r="S23" s="3"/>
      <c r="T23" s="3"/>
      <c r="U23" s="3"/>
      <c r="V23" s="3">
        <v>1.28</v>
      </c>
      <c r="W23" s="3"/>
      <c r="X23" s="3"/>
      <c r="Y23" s="5"/>
    </row>
    <row r="24" spans="1:25" s="1" customFormat="1" x14ac:dyDescent="0.25">
      <c r="A24" s="70"/>
      <c r="B24" s="1" t="s">
        <v>72</v>
      </c>
      <c r="C24" s="11"/>
      <c r="N24" s="1">
        <v>3.12</v>
      </c>
      <c r="Y24" s="12"/>
    </row>
    <row r="25" spans="1:25" s="1" customFormat="1" x14ac:dyDescent="0.25">
      <c r="A25" s="70"/>
      <c r="B25" s="4" t="s">
        <v>33</v>
      </c>
      <c r="C25" s="4"/>
      <c r="D25" s="3"/>
      <c r="E25" s="3">
        <v>0.01</v>
      </c>
      <c r="F25" s="3"/>
      <c r="G25" s="3"/>
      <c r="H25" s="3"/>
      <c r="I25" s="3"/>
      <c r="J25" s="3"/>
      <c r="K25" s="3"/>
      <c r="L25" s="3"/>
      <c r="M25" s="3"/>
      <c r="N25" s="3"/>
      <c r="O25" s="3"/>
      <c r="P25" s="3"/>
      <c r="Q25" s="3"/>
      <c r="R25" s="3"/>
      <c r="S25" s="3"/>
      <c r="T25" s="3"/>
      <c r="U25" s="3"/>
      <c r="V25" s="3">
        <v>0.65</v>
      </c>
      <c r="W25" s="3"/>
      <c r="X25" s="3"/>
      <c r="Y25" s="5"/>
    </row>
    <row r="26" spans="1:25" s="1" customFormat="1" x14ac:dyDescent="0.25">
      <c r="A26" s="70"/>
      <c r="B26" s="1" t="s">
        <v>31</v>
      </c>
      <c r="C26" s="11"/>
      <c r="E26" s="1">
        <v>0.09</v>
      </c>
      <c r="F26" s="1">
        <v>36.15</v>
      </c>
      <c r="H26" s="1">
        <v>8.93</v>
      </c>
      <c r="K26" s="1">
        <v>38.08</v>
      </c>
      <c r="V26" s="1">
        <v>13.35</v>
      </c>
      <c r="Y26" s="12"/>
    </row>
    <row r="27" spans="1:25" s="1" customFormat="1" x14ac:dyDescent="0.25">
      <c r="A27" s="70"/>
      <c r="B27" s="4" t="s">
        <v>26</v>
      </c>
      <c r="C27" s="4"/>
      <c r="D27" s="3">
        <v>24.97</v>
      </c>
      <c r="E27" s="3">
        <v>1.4</v>
      </c>
      <c r="F27" s="3">
        <v>10.210000000000001</v>
      </c>
      <c r="G27" s="3"/>
      <c r="H27" s="3"/>
      <c r="I27" s="3"/>
      <c r="J27" s="3"/>
      <c r="K27" s="3"/>
      <c r="L27" s="3"/>
      <c r="M27" s="3"/>
      <c r="N27" s="3"/>
      <c r="O27" s="3"/>
      <c r="P27" s="3"/>
      <c r="Q27" s="3"/>
      <c r="R27" s="3"/>
      <c r="S27" s="3"/>
      <c r="T27" s="3"/>
      <c r="U27" s="3"/>
      <c r="V27" s="3"/>
      <c r="W27" s="3"/>
      <c r="X27" s="3"/>
      <c r="Y27" s="5"/>
    </row>
    <row r="28" spans="1:25" s="1" customFormat="1" x14ac:dyDescent="0.25">
      <c r="A28" s="70"/>
      <c r="B28" s="1" t="s">
        <v>71</v>
      </c>
      <c r="C28" s="11"/>
      <c r="N28" s="1">
        <v>0.05</v>
      </c>
      <c r="V28" s="1">
        <v>0.31</v>
      </c>
      <c r="Y28" s="12"/>
    </row>
    <row r="29" spans="1:25" s="1" customFormat="1" x14ac:dyDescent="0.25">
      <c r="A29" s="70"/>
      <c r="B29" s="4" t="s">
        <v>70</v>
      </c>
      <c r="C29" s="4"/>
      <c r="D29" s="3"/>
      <c r="E29" s="3"/>
      <c r="F29" s="3"/>
      <c r="G29" s="3"/>
      <c r="H29" s="3"/>
      <c r="I29" s="3"/>
      <c r="J29" s="3"/>
      <c r="K29" s="3"/>
      <c r="L29" s="3"/>
      <c r="M29" s="3"/>
      <c r="N29" s="3">
        <v>0.01</v>
      </c>
      <c r="O29" s="3"/>
      <c r="P29" s="3"/>
      <c r="Q29" s="3"/>
      <c r="R29" s="3"/>
      <c r="S29" s="3"/>
      <c r="T29" s="3"/>
      <c r="U29" s="3"/>
      <c r="V29" s="3"/>
      <c r="W29" s="3"/>
      <c r="X29" s="3"/>
      <c r="Y29" s="5"/>
    </row>
    <row r="30" spans="1:25" s="1" customFormat="1" x14ac:dyDescent="0.25">
      <c r="A30" s="70"/>
      <c r="B30" s="1" t="s">
        <v>63</v>
      </c>
      <c r="C30" s="11"/>
      <c r="K30" s="1">
        <v>27.02</v>
      </c>
      <c r="V30" s="1">
        <v>1.54</v>
      </c>
      <c r="Y30" s="12"/>
    </row>
    <row r="31" spans="1:25" s="1" customFormat="1" x14ac:dyDescent="0.25">
      <c r="A31" s="70"/>
      <c r="B31" s="4" t="s">
        <v>28</v>
      </c>
      <c r="C31" s="4"/>
      <c r="D31" s="3"/>
      <c r="E31" s="3">
        <v>0.49</v>
      </c>
      <c r="F31" s="3"/>
      <c r="G31" s="3"/>
      <c r="H31" s="3"/>
      <c r="I31" s="3"/>
      <c r="J31" s="3"/>
      <c r="K31" s="3"/>
      <c r="L31" s="3"/>
      <c r="M31" s="3"/>
      <c r="N31" s="3">
        <v>0.12</v>
      </c>
      <c r="O31" s="3"/>
      <c r="P31" s="3"/>
      <c r="Q31" s="3"/>
      <c r="R31" s="3"/>
      <c r="S31" s="3"/>
      <c r="T31" s="3"/>
      <c r="U31" s="3"/>
      <c r="V31" s="3">
        <v>0.44</v>
      </c>
      <c r="W31" s="3"/>
      <c r="X31" s="3"/>
      <c r="Y31" s="5"/>
    </row>
    <row r="32" spans="1:25" s="1" customFormat="1" x14ac:dyDescent="0.25">
      <c r="A32" s="70"/>
      <c r="B32" s="1" t="s">
        <v>52</v>
      </c>
      <c r="C32" s="11"/>
      <c r="H32" s="1">
        <v>2.98</v>
      </c>
      <c r="K32" s="1">
        <v>11.81</v>
      </c>
      <c r="V32" s="1">
        <v>0.12</v>
      </c>
      <c r="Y32" s="12"/>
    </row>
    <row r="33" spans="1:25" s="1" customFormat="1" x14ac:dyDescent="0.25">
      <c r="A33" s="70"/>
      <c r="B33" s="8" t="s">
        <v>30</v>
      </c>
      <c r="C33" s="8"/>
      <c r="D33" s="7"/>
      <c r="E33" s="7">
        <v>0.36</v>
      </c>
      <c r="F33" s="7"/>
      <c r="G33" s="7"/>
      <c r="H33" s="7"/>
      <c r="I33" s="7"/>
      <c r="J33" s="7"/>
      <c r="K33" s="7"/>
      <c r="L33" s="7"/>
      <c r="M33" s="7"/>
      <c r="N33" s="7"/>
      <c r="O33" s="7"/>
      <c r="P33" s="7"/>
      <c r="Q33" s="7"/>
      <c r="R33" s="7"/>
      <c r="S33" s="7"/>
      <c r="T33" s="7"/>
      <c r="U33" s="7"/>
      <c r="V33" s="7">
        <v>7.0000000000000007E-2</v>
      </c>
      <c r="W33" s="7"/>
      <c r="X33" s="7"/>
      <c r="Y33" s="9"/>
    </row>
    <row r="34" spans="1:25" s="1" customFormat="1" x14ac:dyDescent="0.25">
      <c r="A34" s="70"/>
      <c r="B34" s="4" t="s">
        <v>62</v>
      </c>
      <c r="C34" s="4"/>
      <c r="D34" s="3"/>
      <c r="E34" s="3"/>
      <c r="F34" s="3"/>
      <c r="G34" s="3"/>
      <c r="H34" s="3"/>
      <c r="I34" s="3"/>
      <c r="J34" s="3"/>
      <c r="K34" s="3">
        <v>20</v>
      </c>
      <c r="L34" s="3"/>
      <c r="M34" s="3"/>
      <c r="N34" s="3">
        <v>0.3</v>
      </c>
      <c r="O34" s="3"/>
      <c r="P34" s="3"/>
      <c r="Q34" s="3"/>
      <c r="R34" s="3"/>
      <c r="S34" s="3"/>
      <c r="T34" s="3"/>
      <c r="U34" s="3"/>
      <c r="V34" s="3"/>
      <c r="W34" s="3"/>
      <c r="X34" s="3"/>
      <c r="Y34" s="5"/>
    </row>
    <row r="35" spans="1:25" s="1" customFormat="1" x14ac:dyDescent="0.25">
      <c r="A35" s="70"/>
      <c r="B35" s="11" t="s">
        <v>25</v>
      </c>
      <c r="C35" s="11"/>
      <c r="D35" s="1">
        <v>24.95</v>
      </c>
      <c r="E35" s="1">
        <v>1.38</v>
      </c>
      <c r="F35" s="1">
        <v>10.210000000000001</v>
      </c>
      <c r="Y35" s="12"/>
    </row>
    <row r="36" spans="1:25" s="1" customFormat="1" x14ac:dyDescent="0.25">
      <c r="A36" s="70"/>
      <c r="B36" s="4" t="s">
        <v>27</v>
      </c>
      <c r="C36" s="4"/>
      <c r="D36" s="3"/>
      <c r="E36" s="3">
        <v>0.02</v>
      </c>
      <c r="F36" s="3"/>
      <c r="G36" s="3"/>
      <c r="H36" s="3"/>
      <c r="I36" s="3"/>
      <c r="J36" s="3"/>
      <c r="K36" s="3">
        <v>24.44</v>
      </c>
      <c r="L36" s="3"/>
      <c r="M36" s="3"/>
      <c r="N36" s="3">
        <v>0.8</v>
      </c>
      <c r="O36" s="3"/>
      <c r="P36" s="3"/>
      <c r="Q36" s="3"/>
      <c r="R36" s="3"/>
      <c r="S36" s="3"/>
      <c r="T36" s="3"/>
      <c r="U36" s="3"/>
      <c r="V36" s="3">
        <v>1.03</v>
      </c>
      <c r="W36" s="3"/>
      <c r="X36" s="3"/>
      <c r="Y36" s="5"/>
    </row>
    <row r="37" spans="1:25" s="1" customFormat="1" x14ac:dyDescent="0.25">
      <c r="A37" s="70"/>
      <c r="B37" s="11" t="s">
        <v>48</v>
      </c>
      <c r="C37" s="11"/>
      <c r="G37" s="1">
        <v>27.93</v>
      </c>
      <c r="J37" s="1">
        <v>50</v>
      </c>
      <c r="M37" s="1">
        <v>50</v>
      </c>
      <c r="P37" s="1">
        <v>7.73</v>
      </c>
      <c r="Q37" s="1">
        <v>22.79</v>
      </c>
      <c r="R37" s="1">
        <v>50</v>
      </c>
      <c r="U37" s="1">
        <v>31.67</v>
      </c>
      <c r="V37" s="1">
        <v>1.98</v>
      </c>
      <c r="Y37" s="12"/>
    </row>
    <row r="38" spans="1:25" s="1" customFormat="1" x14ac:dyDescent="0.25">
      <c r="A38" s="70"/>
      <c r="B38" s="4" t="s">
        <v>42</v>
      </c>
      <c r="C38" s="4"/>
      <c r="D38" s="3"/>
      <c r="E38" s="3"/>
      <c r="F38" s="3"/>
      <c r="G38" s="3">
        <v>20.149999999999999</v>
      </c>
      <c r="H38" s="3"/>
      <c r="I38" s="3"/>
      <c r="J38" s="3">
        <v>18.899999999999999</v>
      </c>
      <c r="K38" s="3"/>
      <c r="L38" s="3"/>
      <c r="M38" s="3">
        <v>34.270000000000003</v>
      </c>
      <c r="N38" s="3"/>
      <c r="O38" s="3"/>
      <c r="P38" s="3">
        <v>7.62</v>
      </c>
      <c r="Q38" s="3">
        <v>6.38</v>
      </c>
      <c r="R38" s="3">
        <v>33.04</v>
      </c>
      <c r="S38" s="3"/>
      <c r="T38" s="3">
        <v>17</v>
      </c>
      <c r="U38" s="3">
        <v>61.12</v>
      </c>
      <c r="V38" s="3">
        <v>18.82</v>
      </c>
      <c r="W38" s="3"/>
      <c r="X38" s="3"/>
      <c r="Y38" s="5">
        <v>15</v>
      </c>
    </row>
    <row r="39" spans="1:25" s="1" customFormat="1" x14ac:dyDescent="0.25">
      <c r="A39" s="70"/>
      <c r="B39" s="11" t="s">
        <v>79</v>
      </c>
      <c r="C39" s="11"/>
      <c r="P39" s="1">
        <v>9.06</v>
      </c>
      <c r="Y39" s="12"/>
    </row>
    <row r="40" spans="1:25" s="1" customFormat="1" x14ac:dyDescent="0.25">
      <c r="A40" s="70"/>
      <c r="B40" s="4" t="s">
        <v>59</v>
      </c>
      <c r="C40" s="4"/>
      <c r="D40" s="3"/>
      <c r="E40" s="3"/>
      <c r="F40" s="3"/>
      <c r="G40" s="3"/>
      <c r="H40" s="3"/>
      <c r="I40" s="3"/>
      <c r="J40" s="3">
        <v>78.209999999999994</v>
      </c>
      <c r="K40" s="3"/>
      <c r="L40" s="3"/>
      <c r="M40" s="3">
        <v>71.44</v>
      </c>
      <c r="N40" s="3"/>
      <c r="O40" s="3"/>
      <c r="P40" s="3">
        <v>7.93</v>
      </c>
      <c r="Q40" s="3">
        <v>2.98</v>
      </c>
      <c r="R40" s="3"/>
      <c r="S40" s="3"/>
      <c r="T40" s="3"/>
      <c r="U40" s="3">
        <v>61.39</v>
      </c>
      <c r="V40" s="3"/>
      <c r="W40" s="3"/>
      <c r="X40" s="3"/>
      <c r="Y40" s="5"/>
    </row>
    <row r="41" spans="1:25" s="1" customFormat="1" x14ac:dyDescent="0.25">
      <c r="A41" s="70"/>
      <c r="B41" s="11" t="s">
        <v>39</v>
      </c>
      <c r="C41" s="11"/>
      <c r="G41" s="1">
        <v>15</v>
      </c>
      <c r="J41" s="1">
        <v>21.9</v>
      </c>
      <c r="M41" s="1">
        <v>31.99</v>
      </c>
      <c r="P41" s="1">
        <v>6.36</v>
      </c>
      <c r="Q41" s="1">
        <v>4.62</v>
      </c>
      <c r="R41" s="1">
        <v>30.47</v>
      </c>
      <c r="T41" s="1">
        <v>15.03</v>
      </c>
      <c r="U41" s="1">
        <v>32.56</v>
      </c>
      <c r="V41" s="1">
        <v>15.42</v>
      </c>
      <c r="Y41" s="12"/>
    </row>
    <row r="42" spans="1:25" s="1" customFormat="1" x14ac:dyDescent="0.25">
      <c r="A42" s="70"/>
      <c r="B42" s="4" t="s">
        <v>45</v>
      </c>
      <c r="C42" s="4"/>
      <c r="D42" s="3"/>
      <c r="E42" s="3"/>
      <c r="F42" s="3"/>
      <c r="G42" s="3">
        <v>22.98</v>
      </c>
      <c r="H42" s="3"/>
      <c r="I42" s="3"/>
      <c r="J42" s="3">
        <v>15</v>
      </c>
      <c r="K42" s="3"/>
      <c r="L42" s="3"/>
      <c r="M42" s="3">
        <v>29.55</v>
      </c>
      <c r="N42" s="3">
        <v>0.95</v>
      </c>
      <c r="O42" s="3"/>
      <c r="P42" s="3">
        <v>8.49</v>
      </c>
      <c r="Q42" s="3">
        <v>10.63</v>
      </c>
      <c r="R42" s="3">
        <v>27.38</v>
      </c>
      <c r="S42" s="3"/>
      <c r="T42" s="3"/>
      <c r="U42" s="3">
        <v>19.22</v>
      </c>
      <c r="V42" s="3">
        <v>3.77</v>
      </c>
      <c r="W42" s="3"/>
      <c r="X42" s="3"/>
      <c r="Y42" s="5"/>
    </row>
    <row r="43" spans="1:25" s="1" customFormat="1" x14ac:dyDescent="0.25">
      <c r="A43" s="70"/>
      <c r="B43" s="15" t="s">
        <v>58</v>
      </c>
      <c r="C43" s="15"/>
      <c r="D43" s="14"/>
      <c r="E43" s="14"/>
      <c r="F43" s="14"/>
      <c r="G43" s="14"/>
      <c r="H43" s="14"/>
      <c r="I43" s="14"/>
      <c r="J43" s="14">
        <v>79.650000000000006</v>
      </c>
      <c r="K43" s="14"/>
      <c r="L43" s="14"/>
      <c r="M43" s="14">
        <v>66.44</v>
      </c>
      <c r="N43" s="14"/>
      <c r="O43" s="14"/>
      <c r="P43" s="14">
        <v>7.31</v>
      </c>
      <c r="Q43" s="14">
        <v>20.059999999999999</v>
      </c>
      <c r="R43" s="14"/>
      <c r="S43" s="14"/>
      <c r="T43" s="14"/>
      <c r="U43" s="14"/>
      <c r="V43" s="14"/>
      <c r="W43" s="14"/>
      <c r="X43" s="14"/>
      <c r="Y43" s="16"/>
    </row>
    <row r="44" spans="1:25" s="1" customFormat="1" x14ac:dyDescent="0.25">
      <c r="A44" s="70"/>
      <c r="B44" s="1" t="s">
        <v>76</v>
      </c>
      <c r="C44" s="11"/>
      <c r="P44" s="1">
        <v>2.15</v>
      </c>
      <c r="Q44" s="1">
        <v>10.24</v>
      </c>
      <c r="Y44" s="12"/>
    </row>
    <row r="45" spans="1:25" s="1" customFormat="1" x14ac:dyDescent="0.25">
      <c r="A45" s="70"/>
      <c r="B45" s="4" t="s">
        <v>69</v>
      </c>
      <c r="C45" s="4"/>
      <c r="D45" s="3"/>
      <c r="E45" s="3"/>
      <c r="F45" s="3"/>
      <c r="G45" s="3"/>
      <c r="H45" s="3"/>
      <c r="I45" s="3"/>
      <c r="J45" s="3"/>
      <c r="K45" s="3"/>
      <c r="L45" s="3"/>
      <c r="M45" s="3">
        <v>63.45</v>
      </c>
      <c r="N45" s="3"/>
      <c r="O45" s="3"/>
      <c r="P45" s="3">
        <v>8.7799999999999994</v>
      </c>
      <c r="Q45" s="3">
        <v>16.850000000000001</v>
      </c>
      <c r="R45" s="3">
        <v>90.7</v>
      </c>
      <c r="S45" s="3"/>
      <c r="T45" s="3"/>
      <c r="U45" s="3"/>
      <c r="V45" s="3">
        <v>13.73</v>
      </c>
      <c r="W45" s="3"/>
      <c r="X45" s="3"/>
      <c r="Y45" s="5"/>
    </row>
    <row r="46" spans="1:25" s="1" customFormat="1" x14ac:dyDescent="0.25">
      <c r="A46" s="70"/>
      <c r="B46" s="1" t="s">
        <v>47</v>
      </c>
      <c r="C46" s="11"/>
      <c r="G46" s="1">
        <v>24.66</v>
      </c>
      <c r="I46" s="1">
        <v>3.28</v>
      </c>
      <c r="J46" s="1">
        <v>27.82</v>
      </c>
      <c r="M46" s="1">
        <v>27.3</v>
      </c>
      <c r="P46" s="1">
        <v>6.64</v>
      </c>
      <c r="Q46" s="1">
        <v>19.940000000000001</v>
      </c>
      <c r="R46" s="1">
        <v>29.18</v>
      </c>
      <c r="U46" s="1">
        <v>27.28</v>
      </c>
      <c r="V46" s="1">
        <v>19.23</v>
      </c>
      <c r="Y46" s="12"/>
    </row>
    <row r="47" spans="1:25" s="1" customFormat="1" x14ac:dyDescent="0.25">
      <c r="A47" s="70"/>
      <c r="B47" s="4" t="s">
        <v>56</v>
      </c>
      <c r="C47" s="4"/>
      <c r="D47" s="3"/>
      <c r="E47" s="3"/>
      <c r="F47" s="3"/>
      <c r="G47" s="3"/>
      <c r="H47" s="3"/>
      <c r="I47" s="3"/>
      <c r="J47" s="3">
        <v>50</v>
      </c>
      <c r="K47" s="3"/>
      <c r="L47" s="3"/>
      <c r="M47" s="3"/>
      <c r="N47" s="3">
        <v>15</v>
      </c>
      <c r="O47" s="3"/>
      <c r="P47" s="3">
        <v>4.8499999999999996</v>
      </c>
      <c r="Q47" s="3">
        <v>3.88</v>
      </c>
      <c r="R47" s="3">
        <v>21.76</v>
      </c>
      <c r="S47" s="3"/>
      <c r="T47" s="3"/>
      <c r="U47" s="3">
        <v>27.42</v>
      </c>
      <c r="V47" s="3">
        <v>1.01</v>
      </c>
      <c r="W47" s="3"/>
      <c r="X47" s="3"/>
      <c r="Y47" s="5"/>
    </row>
    <row r="48" spans="1:25" s="1" customFormat="1" x14ac:dyDescent="0.25">
      <c r="A48" s="70"/>
      <c r="B48" s="1" t="s">
        <v>67</v>
      </c>
      <c r="C48" s="11"/>
      <c r="M48" s="1">
        <v>41.31</v>
      </c>
      <c r="P48" s="1">
        <v>4.26</v>
      </c>
      <c r="Q48" s="1">
        <v>9.0399999999999991</v>
      </c>
      <c r="R48" s="1">
        <v>34.880000000000003</v>
      </c>
      <c r="Y48" s="12"/>
    </row>
    <row r="49" spans="1:25" s="1" customFormat="1" x14ac:dyDescent="0.25">
      <c r="A49" s="70"/>
      <c r="B49" s="4" t="s">
        <v>77</v>
      </c>
      <c r="C49" s="4"/>
      <c r="D49" s="3"/>
      <c r="E49" s="3"/>
      <c r="F49" s="3"/>
      <c r="G49" s="3"/>
      <c r="H49" s="3"/>
      <c r="I49" s="3"/>
      <c r="J49" s="3"/>
      <c r="K49" s="3"/>
      <c r="L49" s="3"/>
      <c r="M49" s="3"/>
      <c r="N49" s="3"/>
      <c r="O49" s="3"/>
      <c r="P49" s="3">
        <v>3.48</v>
      </c>
      <c r="Q49" s="3">
        <v>11.69</v>
      </c>
      <c r="R49" s="3"/>
      <c r="S49" s="3"/>
      <c r="T49" s="3"/>
      <c r="U49" s="3"/>
      <c r="V49" s="3">
        <v>0.51</v>
      </c>
      <c r="W49" s="3"/>
      <c r="X49" s="3"/>
      <c r="Y49" s="5"/>
    </row>
    <row r="50" spans="1:25" s="1" customFormat="1" x14ac:dyDescent="0.25">
      <c r="A50" s="70"/>
      <c r="B50" s="1" t="s">
        <v>50</v>
      </c>
      <c r="C50" s="11"/>
      <c r="G50" s="1">
        <v>28.09</v>
      </c>
      <c r="J50" s="1">
        <v>50</v>
      </c>
      <c r="L50" s="1">
        <v>15</v>
      </c>
      <c r="M50" s="1">
        <v>31.75</v>
      </c>
      <c r="P50" s="1">
        <v>9.0500000000000007</v>
      </c>
      <c r="Q50" s="1">
        <v>11.6</v>
      </c>
      <c r="R50" s="1">
        <v>30.75</v>
      </c>
      <c r="T50" s="1">
        <v>10</v>
      </c>
      <c r="U50" s="1">
        <v>45.09</v>
      </c>
      <c r="V50" s="1">
        <v>13.51</v>
      </c>
      <c r="Y50" s="12">
        <v>15</v>
      </c>
    </row>
    <row r="51" spans="1:25" s="1" customFormat="1" x14ac:dyDescent="0.25">
      <c r="A51" s="70"/>
      <c r="B51" s="4" t="s">
        <v>64</v>
      </c>
      <c r="C51" s="4"/>
      <c r="D51" s="3"/>
      <c r="E51" s="3"/>
      <c r="F51" s="3"/>
      <c r="G51" s="3"/>
      <c r="H51" s="3"/>
      <c r="I51" s="3"/>
      <c r="J51" s="3"/>
      <c r="K51" s="3"/>
      <c r="L51" s="3"/>
      <c r="M51" s="3">
        <v>50</v>
      </c>
      <c r="N51" s="3"/>
      <c r="O51" s="3"/>
      <c r="P51" s="3">
        <v>9.6199999999999992</v>
      </c>
      <c r="Q51" s="3">
        <v>3.71</v>
      </c>
      <c r="R51" s="3"/>
      <c r="S51" s="3"/>
      <c r="T51" s="3"/>
      <c r="U51" s="3"/>
      <c r="V51" s="3"/>
      <c r="W51" s="3"/>
      <c r="X51" s="3"/>
      <c r="Y51" s="5"/>
    </row>
    <row r="52" spans="1:25" s="1" customFormat="1" x14ac:dyDescent="0.25">
      <c r="A52" s="70"/>
      <c r="B52" s="1" t="s">
        <v>54</v>
      </c>
      <c r="C52" s="11"/>
      <c r="J52" s="1">
        <v>27.86</v>
      </c>
      <c r="M52" s="1">
        <v>31.11</v>
      </c>
      <c r="P52" s="1">
        <v>7.85</v>
      </c>
      <c r="Q52" s="1">
        <v>15</v>
      </c>
      <c r="R52" s="1">
        <v>30.9</v>
      </c>
      <c r="T52" s="1">
        <v>15.47</v>
      </c>
      <c r="U52" s="1">
        <v>32.79</v>
      </c>
      <c r="V52" s="1">
        <v>12.62</v>
      </c>
      <c r="Y52" s="12"/>
    </row>
    <row r="53" spans="1:25" s="1" customFormat="1" x14ac:dyDescent="0.25">
      <c r="A53" s="70"/>
      <c r="B53" s="4" t="s">
        <v>24</v>
      </c>
      <c r="C53" s="4">
        <v>0.55000000000000004</v>
      </c>
      <c r="D53" s="3"/>
      <c r="E53" s="3"/>
      <c r="F53" s="3"/>
      <c r="G53" s="3">
        <v>28.14</v>
      </c>
      <c r="H53" s="3"/>
      <c r="I53" s="3"/>
      <c r="J53" s="3">
        <v>50</v>
      </c>
      <c r="K53" s="3"/>
      <c r="L53" s="3"/>
      <c r="M53" s="3">
        <v>50</v>
      </c>
      <c r="N53" s="3"/>
      <c r="O53" s="3"/>
      <c r="P53" s="3">
        <v>8.92</v>
      </c>
      <c r="Q53" s="3">
        <v>13.22</v>
      </c>
      <c r="R53" s="3">
        <v>29.53</v>
      </c>
      <c r="S53" s="3"/>
      <c r="T53" s="3"/>
      <c r="U53" s="3">
        <v>31.77</v>
      </c>
      <c r="V53" s="3">
        <v>10</v>
      </c>
      <c r="W53" s="3"/>
      <c r="X53" s="3"/>
      <c r="Y53" s="5"/>
    </row>
    <row r="54" spans="1:25" s="1" customFormat="1" x14ac:dyDescent="0.25">
      <c r="A54" s="70"/>
      <c r="B54" s="1" t="s">
        <v>57</v>
      </c>
      <c r="C54" s="11"/>
      <c r="J54" s="1">
        <v>15</v>
      </c>
      <c r="M54" s="1">
        <v>68.319999999999993</v>
      </c>
      <c r="P54" s="1">
        <v>8.6</v>
      </c>
      <c r="Q54" s="1">
        <v>11.02</v>
      </c>
      <c r="R54" s="1">
        <v>27.97</v>
      </c>
      <c r="U54" s="1">
        <v>20.420000000000002</v>
      </c>
      <c r="V54" s="1">
        <v>4.53</v>
      </c>
      <c r="Y54" s="12"/>
    </row>
    <row r="55" spans="1:25" s="1" customFormat="1" x14ac:dyDescent="0.25">
      <c r="A55" s="70"/>
      <c r="B55" s="4" t="s">
        <v>53</v>
      </c>
      <c r="C55" s="4"/>
      <c r="D55" s="3"/>
      <c r="E55" s="3"/>
      <c r="F55" s="3"/>
      <c r="G55" s="3"/>
      <c r="H55" s="3"/>
      <c r="I55" s="3"/>
      <c r="J55" s="3">
        <v>50</v>
      </c>
      <c r="K55" s="3"/>
      <c r="L55" s="3"/>
      <c r="M55" s="3">
        <v>50</v>
      </c>
      <c r="N55" s="3"/>
      <c r="O55" s="3"/>
      <c r="P55" s="3">
        <v>8.3699999999999992</v>
      </c>
      <c r="Q55" s="3">
        <v>4.76</v>
      </c>
      <c r="R55" s="3">
        <v>50</v>
      </c>
      <c r="S55" s="3"/>
      <c r="T55" s="3">
        <v>10</v>
      </c>
      <c r="U55" s="3">
        <v>36.130000000000003</v>
      </c>
      <c r="V55" s="3">
        <v>16.670000000000002</v>
      </c>
      <c r="W55" s="3"/>
      <c r="X55" s="3"/>
      <c r="Y55" s="5">
        <v>15</v>
      </c>
    </row>
    <row r="56" spans="1:25" s="1" customFormat="1" x14ac:dyDescent="0.25">
      <c r="A56" s="70"/>
      <c r="B56" s="4" t="s">
        <v>89</v>
      </c>
      <c r="C56" s="4"/>
      <c r="D56" s="3"/>
      <c r="E56" s="3"/>
      <c r="F56" s="3"/>
      <c r="G56" s="3"/>
      <c r="H56" s="3"/>
      <c r="I56" s="3"/>
      <c r="J56" s="3"/>
      <c r="K56" s="3"/>
      <c r="L56" s="3"/>
      <c r="M56" s="3"/>
      <c r="N56" s="3"/>
      <c r="O56" s="3"/>
      <c r="P56" s="3"/>
      <c r="Q56" s="3"/>
      <c r="R56" s="3"/>
      <c r="S56" s="3"/>
      <c r="T56" s="3"/>
      <c r="U56" s="3"/>
      <c r="V56" s="3"/>
      <c r="W56" s="3"/>
      <c r="X56" s="3"/>
      <c r="Y56" s="5">
        <v>0.09</v>
      </c>
    </row>
    <row r="57" spans="1:25" s="1" customFormat="1" x14ac:dyDescent="0.25">
      <c r="A57" s="70"/>
      <c r="B57" s="8" t="s">
        <v>83</v>
      </c>
      <c r="C57" s="8"/>
      <c r="D57" s="7"/>
      <c r="E57" s="7"/>
      <c r="F57" s="7"/>
      <c r="G57" s="7"/>
      <c r="H57" s="7"/>
      <c r="I57" s="7"/>
      <c r="J57" s="7"/>
      <c r="K57" s="7"/>
      <c r="L57" s="7"/>
      <c r="M57" s="7"/>
      <c r="N57" s="7"/>
      <c r="O57" s="7"/>
      <c r="P57" s="7"/>
      <c r="Q57" s="7">
        <v>1.98</v>
      </c>
      <c r="R57" s="7"/>
      <c r="S57" s="7"/>
      <c r="T57" s="7"/>
      <c r="U57" s="7"/>
      <c r="V57" s="7"/>
      <c r="W57" s="7"/>
      <c r="X57" s="7"/>
      <c r="Y57" s="9"/>
    </row>
    <row r="58" spans="1:25" s="1" customFormat="1" x14ac:dyDescent="0.25">
      <c r="A58" s="70"/>
      <c r="B58" s="8" t="s">
        <v>81</v>
      </c>
      <c r="C58" s="8"/>
      <c r="D58" s="7"/>
      <c r="E58" s="7"/>
      <c r="F58" s="7"/>
      <c r="G58" s="7"/>
      <c r="H58" s="7"/>
      <c r="I58" s="7"/>
      <c r="J58" s="7"/>
      <c r="K58" s="7"/>
      <c r="L58" s="7"/>
      <c r="M58" s="7"/>
      <c r="N58" s="7"/>
      <c r="O58" s="7"/>
      <c r="P58" s="7">
        <v>18.739999999999998</v>
      </c>
      <c r="Q58" s="7"/>
      <c r="R58" s="7"/>
      <c r="S58" s="7"/>
      <c r="T58" s="7"/>
      <c r="U58" s="7"/>
      <c r="V58" s="7"/>
      <c r="W58" s="7"/>
      <c r="X58" s="7"/>
      <c r="Y58" s="9"/>
    </row>
    <row r="59" spans="1:25" s="1" customFormat="1" x14ac:dyDescent="0.25">
      <c r="A59" s="70"/>
      <c r="B59" s="8" t="s">
        <v>23</v>
      </c>
      <c r="C59" s="8">
        <v>13.25</v>
      </c>
      <c r="D59" s="7"/>
      <c r="E59" s="7"/>
      <c r="F59" s="7"/>
      <c r="G59" s="7"/>
      <c r="H59" s="7"/>
      <c r="I59" s="7">
        <v>6.96</v>
      </c>
      <c r="J59" s="7"/>
      <c r="K59" s="7"/>
      <c r="L59" s="7"/>
      <c r="M59" s="7"/>
      <c r="N59" s="7"/>
      <c r="O59" s="7"/>
      <c r="P59" s="7">
        <v>1.04</v>
      </c>
      <c r="Q59" s="7"/>
      <c r="R59" s="7"/>
      <c r="S59" s="7">
        <v>5.09</v>
      </c>
      <c r="T59" s="7">
        <v>0.45</v>
      </c>
      <c r="U59" s="7"/>
      <c r="V59" s="7"/>
      <c r="W59" s="7"/>
      <c r="X59" s="7"/>
      <c r="Y59" s="9"/>
    </row>
    <row r="60" spans="1:25" s="1" customFormat="1" x14ac:dyDescent="0.25">
      <c r="A60" s="70"/>
      <c r="B60" s="8" t="s">
        <v>90</v>
      </c>
      <c r="C60" s="8"/>
      <c r="D60" s="7"/>
      <c r="E60" s="7"/>
      <c r="F60" s="7"/>
      <c r="G60" s="7"/>
      <c r="H60" s="7"/>
      <c r="I60" s="7"/>
      <c r="J60" s="7"/>
      <c r="K60" s="7"/>
      <c r="L60" s="7"/>
      <c r="M60" s="7"/>
      <c r="N60" s="7"/>
      <c r="O60" s="7"/>
      <c r="P60" s="7"/>
      <c r="Q60" s="7"/>
      <c r="R60" s="7"/>
      <c r="S60" s="7"/>
      <c r="T60" s="7"/>
      <c r="U60" s="7">
        <v>3.69</v>
      </c>
      <c r="V60" s="7"/>
      <c r="W60" s="7"/>
      <c r="X60" s="7"/>
      <c r="Y60" s="9"/>
    </row>
    <row r="61" spans="1:25" s="1" customFormat="1" x14ac:dyDescent="0.25">
      <c r="A61" s="70"/>
      <c r="B61" s="8" t="s">
        <v>73</v>
      </c>
      <c r="C61" s="8"/>
      <c r="D61" s="7"/>
      <c r="E61" s="7"/>
      <c r="F61" s="7"/>
      <c r="G61" s="7"/>
      <c r="H61" s="7"/>
      <c r="I61" s="7"/>
      <c r="J61" s="7"/>
      <c r="K61" s="7"/>
      <c r="L61" s="7"/>
      <c r="M61" s="7"/>
      <c r="N61" s="7"/>
      <c r="O61" s="7">
        <v>4.96</v>
      </c>
      <c r="P61" s="7"/>
      <c r="Q61" s="7"/>
      <c r="R61" s="7"/>
      <c r="S61" s="7"/>
      <c r="T61" s="7"/>
      <c r="U61" s="7"/>
      <c r="V61" s="7"/>
      <c r="W61" s="7">
        <v>19.88</v>
      </c>
      <c r="X61" s="7"/>
      <c r="Y61" s="9"/>
    </row>
    <row r="62" spans="1:25" s="1" customFormat="1" x14ac:dyDescent="0.25">
      <c r="A62" s="70"/>
      <c r="B62" s="8" t="s">
        <v>74</v>
      </c>
      <c r="C62" s="8"/>
      <c r="D62" s="7"/>
      <c r="E62" s="7"/>
      <c r="F62" s="7"/>
      <c r="G62" s="7"/>
      <c r="H62" s="7"/>
      <c r="I62" s="7"/>
      <c r="J62" s="7"/>
      <c r="K62" s="7"/>
      <c r="L62" s="7"/>
      <c r="M62" s="7"/>
      <c r="N62" s="7"/>
      <c r="O62" s="7">
        <v>9.7200000000000006</v>
      </c>
      <c r="P62" s="7"/>
      <c r="Q62" s="7"/>
      <c r="R62" s="7"/>
      <c r="S62" s="7"/>
      <c r="T62" s="7"/>
      <c r="U62" s="7"/>
      <c r="V62" s="7"/>
      <c r="W62" s="7"/>
      <c r="X62" s="7"/>
      <c r="Y62" s="9"/>
    </row>
    <row r="63" spans="1:25" s="1" customFormat="1" x14ac:dyDescent="0.25">
      <c r="A63" s="70"/>
      <c r="B63" s="8" t="s">
        <v>82</v>
      </c>
      <c r="C63" s="8"/>
      <c r="D63" s="7"/>
      <c r="E63" s="7"/>
      <c r="F63" s="7"/>
      <c r="G63" s="7"/>
      <c r="H63" s="7"/>
      <c r="I63" s="7"/>
      <c r="J63" s="7"/>
      <c r="K63" s="7"/>
      <c r="L63" s="7"/>
      <c r="M63" s="7"/>
      <c r="N63" s="7"/>
      <c r="O63" s="7"/>
      <c r="P63" s="7">
        <v>25</v>
      </c>
      <c r="Q63" s="7">
        <v>10.23</v>
      </c>
      <c r="R63" s="7"/>
      <c r="S63" s="7"/>
      <c r="T63" s="7"/>
      <c r="U63" s="7"/>
      <c r="V63" s="7"/>
      <c r="W63" s="7"/>
      <c r="X63" s="7"/>
      <c r="Y63" s="9"/>
    </row>
    <row r="64" spans="1:25" s="1" customFormat="1" x14ac:dyDescent="0.25">
      <c r="A64" s="70"/>
      <c r="B64" s="8" t="s">
        <v>35</v>
      </c>
      <c r="C64" s="8"/>
      <c r="D64" s="7"/>
      <c r="E64" s="7"/>
      <c r="F64" s="7">
        <v>20.6</v>
      </c>
      <c r="G64" s="7"/>
      <c r="H64" s="7"/>
      <c r="I64" s="7"/>
      <c r="J64" s="7"/>
      <c r="K64" s="7"/>
      <c r="L64" s="7"/>
      <c r="M64" s="7"/>
      <c r="N64" s="7"/>
      <c r="O64" s="7"/>
      <c r="P64" s="7">
        <v>35.340000000000003</v>
      </c>
      <c r="Q64" s="7"/>
      <c r="R64" s="7"/>
      <c r="S64" s="7"/>
      <c r="T64" s="7"/>
      <c r="U64" s="7"/>
      <c r="V64" s="7"/>
      <c r="W64" s="7"/>
      <c r="X64" s="7"/>
      <c r="Y64" s="9"/>
    </row>
    <row r="65" spans="1:26" s="1" customFormat="1" x14ac:dyDescent="0.25">
      <c r="A65" s="70"/>
      <c r="B65" s="8" t="s">
        <v>84</v>
      </c>
      <c r="C65" s="8"/>
      <c r="D65" s="7"/>
      <c r="E65" s="7"/>
      <c r="F65" s="7"/>
      <c r="G65" s="7"/>
      <c r="H65" s="7"/>
      <c r="I65" s="7"/>
      <c r="J65" s="7"/>
      <c r="K65" s="7"/>
      <c r="L65" s="7"/>
      <c r="M65" s="7"/>
      <c r="N65" s="7"/>
      <c r="O65" s="7"/>
      <c r="P65" s="7"/>
      <c r="Q65" s="7">
        <v>6.19</v>
      </c>
      <c r="R65" s="7"/>
      <c r="S65" s="7"/>
      <c r="T65" s="7"/>
      <c r="U65" s="7">
        <v>20.09</v>
      </c>
      <c r="V65" s="7"/>
      <c r="W65" s="7"/>
      <c r="X65" s="7"/>
      <c r="Y65" s="9"/>
    </row>
    <row r="66" spans="1:26" s="1" customFormat="1" x14ac:dyDescent="0.25">
      <c r="A66" s="70"/>
      <c r="B66" s="8" t="s">
        <v>80</v>
      </c>
      <c r="C66" s="8"/>
      <c r="D66" s="7"/>
      <c r="E66" s="7"/>
      <c r="F66" s="7"/>
      <c r="G66" s="7"/>
      <c r="H66" s="7"/>
      <c r="I66" s="7"/>
      <c r="J66" s="7"/>
      <c r="K66" s="7"/>
      <c r="L66" s="7"/>
      <c r="M66" s="7"/>
      <c r="N66" s="7"/>
      <c r="O66" s="7"/>
      <c r="P66" s="7">
        <v>14.88</v>
      </c>
      <c r="Q66" s="7"/>
      <c r="R66" s="7"/>
      <c r="S66" s="7"/>
      <c r="T66" s="7"/>
      <c r="U66" s="7"/>
      <c r="V66" s="7"/>
      <c r="W66" s="7"/>
      <c r="X66" s="7"/>
      <c r="Y66" s="9"/>
    </row>
    <row r="67" spans="1:26" s="1" customFormat="1" x14ac:dyDescent="0.25">
      <c r="A67" s="70"/>
      <c r="B67" s="4" t="s">
        <v>78</v>
      </c>
      <c r="C67" s="4"/>
      <c r="D67" s="3"/>
      <c r="E67" s="3"/>
      <c r="F67" s="3"/>
      <c r="G67" s="3"/>
      <c r="H67" s="3"/>
      <c r="I67" s="3"/>
      <c r="J67" s="3"/>
      <c r="K67" s="3"/>
      <c r="L67" s="3"/>
      <c r="M67" s="3"/>
      <c r="N67" s="3"/>
      <c r="O67" s="3"/>
      <c r="P67" s="3">
        <v>5.66</v>
      </c>
      <c r="Q67" s="3"/>
      <c r="R67" s="3"/>
      <c r="S67" s="3"/>
      <c r="T67" s="3"/>
      <c r="U67" s="3"/>
      <c r="V67" s="3"/>
      <c r="W67" s="3"/>
      <c r="X67" s="3"/>
      <c r="Y67" s="5"/>
    </row>
    <row r="68" spans="1:26" s="1" customFormat="1" x14ac:dyDescent="0.25">
      <c r="A68" s="70"/>
      <c r="B68" s="15" t="s">
        <v>91</v>
      </c>
      <c r="C68" s="15"/>
      <c r="D68" s="14"/>
      <c r="E68" s="14"/>
      <c r="F68" s="14"/>
      <c r="G68" s="14"/>
      <c r="H68" s="14"/>
      <c r="I68" s="14"/>
      <c r="J68" s="14"/>
      <c r="K68" s="14"/>
      <c r="L68" s="14"/>
      <c r="M68" s="14"/>
      <c r="N68" s="14"/>
      <c r="O68" s="14"/>
      <c r="P68" s="14"/>
      <c r="Q68" s="14"/>
      <c r="R68" s="14"/>
      <c r="S68" s="14"/>
      <c r="T68" s="14"/>
      <c r="U68" s="14">
        <v>34.020000000000003</v>
      </c>
      <c r="V68" s="14"/>
      <c r="W68" s="14"/>
      <c r="X68" s="14"/>
      <c r="Y68" s="16"/>
    </row>
    <row r="69" spans="1:26" s="1" customFormat="1" x14ac:dyDescent="0.25">
      <c r="A69" s="70"/>
      <c r="B69" s="15" t="s">
        <v>34</v>
      </c>
      <c r="C69" s="15"/>
      <c r="D69" s="14"/>
      <c r="E69" s="14">
        <v>11.11</v>
      </c>
      <c r="F69" s="14"/>
      <c r="G69" s="14"/>
      <c r="H69" s="14"/>
      <c r="I69" s="14"/>
      <c r="J69" s="14"/>
      <c r="K69" s="14"/>
      <c r="L69" s="14"/>
      <c r="M69" s="14"/>
      <c r="N69" s="14"/>
      <c r="O69" s="14"/>
      <c r="P69" s="14"/>
      <c r="Q69" s="14"/>
      <c r="R69" s="14"/>
      <c r="S69" s="14"/>
      <c r="T69" s="14"/>
      <c r="U69" s="14"/>
      <c r="V69" s="14"/>
      <c r="W69" s="14"/>
      <c r="X69" s="14"/>
      <c r="Y69" s="16"/>
    </row>
    <row r="70" spans="1:26" s="1" customFormat="1" x14ac:dyDescent="0.25">
      <c r="A70" s="70"/>
      <c r="B70" s="15" t="s">
        <v>94</v>
      </c>
      <c r="C70" s="15"/>
      <c r="D70" s="14"/>
      <c r="E70" s="14"/>
      <c r="F70" s="14"/>
      <c r="G70" s="14"/>
      <c r="H70" s="14"/>
      <c r="I70" s="14"/>
      <c r="J70" s="14"/>
      <c r="K70" s="14"/>
      <c r="L70" s="14"/>
      <c r="M70" s="14"/>
      <c r="N70" s="14"/>
      <c r="O70" s="14"/>
      <c r="P70" s="14"/>
      <c r="Q70" s="14"/>
      <c r="R70" s="14"/>
      <c r="S70" s="14"/>
      <c r="T70" s="14"/>
      <c r="U70" s="14"/>
      <c r="V70" s="14"/>
      <c r="W70" s="14"/>
      <c r="X70" s="14"/>
      <c r="Y70" s="16">
        <v>13.57</v>
      </c>
    </row>
    <row r="71" spans="1:26" s="1" customFormat="1" x14ac:dyDescent="0.25">
      <c r="A71" s="70"/>
      <c r="B71" s="15" t="s">
        <v>93</v>
      </c>
      <c r="C71" s="15"/>
      <c r="D71" s="14"/>
      <c r="E71" s="14"/>
      <c r="F71" s="14"/>
      <c r="G71" s="14"/>
      <c r="H71" s="14"/>
      <c r="I71" s="14"/>
      <c r="J71" s="14"/>
      <c r="K71" s="14"/>
      <c r="L71" s="14"/>
      <c r="M71" s="14"/>
      <c r="N71" s="14"/>
      <c r="O71" s="14"/>
      <c r="P71" s="14"/>
      <c r="Q71" s="14"/>
      <c r="R71" s="14"/>
      <c r="S71" s="14"/>
      <c r="T71" s="14"/>
      <c r="U71" s="14"/>
      <c r="V71" s="14"/>
      <c r="W71" s="14"/>
      <c r="X71" s="14"/>
      <c r="Y71" s="16">
        <v>7.29</v>
      </c>
    </row>
    <row r="72" spans="1:26" s="1" customFormat="1" x14ac:dyDescent="0.25">
      <c r="A72" s="70"/>
      <c r="B72" s="15" t="s">
        <v>37</v>
      </c>
      <c r="C72" s="15"/>
      <c r="D72" s="14"/>
      <c r="E72" s="14"/>
      <c r="F72" s="14"/>
      <c r="G72" s="14">
        <v>5.29</v>
      </c>
      <c r="H72" s="14"/>
      <c r="I72" s="14"/>
      <c r="J72" s="14"/>
      <c r="K72" s="14"/>
      <c r="L72" s="14"/>
      <c r="M72" s="14"/>
      <c r="N72" s="14"/>
      <c r="O72" s="14"/>
      <c r="P72" s="14"/>
      <c r="Q72" s="14">
        <v>11.94</v>
      </c>
      <c r="R72" s="14"/>
      <c r="S72" s="14"/>
      <c r="T72" s="14"/>
      <c r="U72" s="14"/>
      <c r="V72" s="14"/>
      <c r="W72" s="14">
        <v>25</v>
      </c>
      <c r="X72" s="14"/>
      <c r="Y72" s="16"/>
    </row>
    <row r="73" spans="1:26" s="1" customFormat="1" x14ac:dyDescent="0.25">
      <c r="A73" s="70"/>
      <c r="B73" s="15" t="s">
        <v>43</v>
      </c>
      <c r="C73" s="15"/>
      <c r="D73" s="14"/>
      <c r="E73" s="14"/>
      <c r="F73" s="14"/>
      <c r="G73" s="14">
        <v>20.88</v>
      </c>
      <c r="H73" s="14"/>
      <c r="I73" s="14"/>
      <c r="J73" s="14"/>
      <c r="K73" s="14"/>
      <c r="L73" s="14"/>
      <c r="M73" s="14"/>
      <c r="N73" s="14"/>
      <c r="O73" s="14"/>
      <c r="P73" s="14"/>
      <c r="Q73" s="14"/>
      <c r="R73" s="14"/>
      <c r="S73" s="14"/>
      <c r="T73" s="14"/>
      <c r="U73" s="14"/>
      <c r="V73" s="14">
        <v>19.55</v>
      </c>
      <c r="W73" s="14">
        <v>17.16</v>
      </c>
      <c r="X73" s="14">
        <v>14.33</v>
      </c>
      <c r="Y73" s="16"/>
    </row>
    <row r="74" spans="1:26" s="1" customFormat="1" x14ac:dyDescent="0.25">
      <c r="A74" s="70"/>
      <c r="B74" s="15" t="s">
        <v>92</v>
      </c>
      <c r="C74" s="15"/>
      <c r="D74" s="14"/>
      <c r="E74" s="14"/>
      <c r="F74" s="14"/>
      <c r="G74" s="14"/>
      <c r="H74" s="14"/>
      <c r="I74" s="14"/>
      <c r="J74" s="14"/>
      <c r="K74" s="14"/>
      <c r="L74" s="14"/>
      <c r="M74" s="14"/>
      <c r="N74" s="14"/>
      <c r="O74" s="14"/>
      <c r="P74" s="14"/>
      <c r="Q74" s="14"/>
      <c r="R74" s="14"/>
      <c r="S74" s="14"/>
      <c r="T74" s="14"/>
      <c r="U74" s="14"/>
      <c r="V74" s="14"/>
      <c r="W74" s="14">
        <v>15.49</v>
      </c>
      <c r="X74" s="14"/>
      <c r="Y74" s="16"/>
    </row>
    <row r="75" spans="1:26" s="1" customFormat="1" x14ac:dyDescent="0.25">
      <c r="A75" s="70"/>
      <c r="B75" s="15" t="s">
        <v>38</v>
      </c>
      <c r="C75" s="15"/>
      <c r="D75" s="14"/>
      <c r="E75" s="14"/>
      <c r="F75" s="14"/>
      <c r="G75" s="14">
        <v>14.75</v>
      </c>
      <c r="H75" s="14"/>
      <c r="I75" s="14"/>
      <c r="J75" s="14"/>
      <c r="K75" s="14"/>
      <c r="L75" s="14"/>
      <c r="M75" s="14"/>
      <c r="N75" s="14"/>
      <c r="O75" s="14"/>
      <c r="P75" s="14"/>
      <c r="Q75" s="14"/>
      <c r="R75" s="14"/>
      <c r="S75" s="14"/>
      <c r="T75" s="14"/>
      <c r="U75" s="14"/>
      <c r="V75" s="14"/>
      <c r="W75" s="14"/>
      <c r="X75" s="14"/>
      <c r="Y75" s="16"/>
    </row>
    <row r="76" spans="1:26" s="1" customFormat="1" x14ac:dyDescent="0.25">
      <c r="A76" s="70"/>
      <c r="B76" s="15" t="s">
        <v>75</v>
      </c>
      <c r="C76" s="15"/>
      <c r="D76" s="14"/>
      <c r="E76" s="14"/>
      <c r="F76" s="14"/>
      <c r="G76" s="14"/>
      <c r="H76" s="14"/>
      <c r="I76" s="14"/>
      <c r="J76" s="14"/>
      <c r="K76" s="14"/>
      <c r="L76" s="14"/>
      <c r="M76" s="14"/>
      <c r="N76" s="14"/>
      <c r="O76" s="14">
        <v>19.03</v>
      </c>
      <c r="P76" s="14"/>
      <c r="Q76" s="14"/>
      <c r="R76" s="14"/>
      <c r="S76" s="14"/>
      <c r="T76" s="14"/>
      <c r="U76" s="14"/>
      <c r="V76" s="14"/>
      <c r="W76" s="14"/>
      <c r="X76" s="14"/>
      <c r="Y76" s="16"/>
    </row>
    <row r="77" spans="1:26" x14ac:dyDescent="0.25">
      <c r="A77" t="s">
        <v>96</v>
      </c>
      <c r="Z77" s="1"/>
    </row>
  </sheetData>
  <mergeCells count="4">
    <mergeCell ref="A2:B2"/>
    <mergeCell ref="A3:B3"/>
    <mergeCell ref="A4:B4"/>
    <mergeCell ref="A5:A7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09C2-9BDC-4372-AB04-C413A3899F10}">
  <dimension ref="A1:D75"/>
  <sheetViews>
    <sheetView zoomScale="83" zoomScaleNormal="83" workbookViewId="0">
      <selection activeCell="A76" sqref="A76"/>
    </sheetView>
  </sheetViews>
  <sheetFormatPr defaultRowHeight="15" x14ac:dyDescent="0.25"/>
  <cols>
    <col min="1" max="1" width="72.140625" bestFit="1" customWidth="1"/>
    <col min="2" max="3" width="11.7109375" customWidth="1"/>
    <col min="4" max="4" width="255.7109375" bestFit="1" customWidth="1"/>
  </cols>
  <sheetData>
    <row r="1" spans="1:4" x14ac:dyDescent="0.25">
      <c r="A1" s="50" t="s">
        <v>589</v>
      </c>
      <c r="B1" s="50"/>
      <c r="C1" s="50"/>
      <c r="D1" s="50"/>
    </row>
    <row r="2" spans="1:4" x14ac:dyDescent="0.25">
      <c r="A2" s="2" t="s">
        <v>448</v>
      </c>
      <c r="B2" s="2" t="s">
        <v>522</v>
      </c>
      <c r="C2" s="2" t="s">
        <v>523</v>
      </c>
      <c r="D2" s="2" t="s">
        <v>449</v>
      </c>
    </row>
    <row r="3" spans="1:4" x14ac:dyDescent="0.25">
      <c r="A3" s="2" t="s">
        <v>46</v>
      </c>
      <c r="B3" s="2" t="s">
        <v>572</v>
      </c>
      <c r="C3" s="2" t="s">
        <v>573</v>
      </c>
      <c r="D3" s="2" t="s">
        <v>450</v>
      </c>
    </row>
    <row r="4" spans="1:4" x14ac:dyDescent="0.25">
      <c r="A4" s="2" t="s">
        <v>51</v>
      </c>
      <c r="B4" s="2" t="s">
        <v>572</v>
      </c>
      <c r="C4" s="2" t="s">
        <v>573</v>
      </c>
      <c r="D4" s="2" t="s">
        <v>451</v>
      </c>
    </row>
    <row r="5" spans="1:4" x14ac:dyDescent="0.25">
      <c r="A5" s="2" t="s">
        <v>49</v>
      </c>
      <c r="B5" s="2" t="s">
        <v>572</v>
      </c>
      <c r="C5" s="2" t="s">
        <v>573</v>
      </c>
      <c r="D5" s="2" t="s">
        <v>452</v>
      </c>
    </row>
    <row r="6" spans="1:4" x14ac:dyDescent="0.25">
      <c r="A6" s="2" t="s">
        <v>36</v>
      </c>
      <c r="B6" s="2" t="s">
        <v>572</v>
      </c>
      <c r="C6" s="2" t="s">
        <v>573</v>
      </c>
      <c r="D6" s="2" t="s">
        <v>453</v>
      </c>
    </row>
    <row r="7" spans="1:4" x14ac:dyDescent="0.25">
      <c r="A7" s="2" t="s">
        <v>55</v>
      </c>
      <c r="B7" s="2" t="s">
        <v>572</v>
      </c>
      <c r="C7" s="2" t="s">
        <v>573</v>
      </c>
      <c r="D7" s="2" t="s">
        <v>454</v>
      </c>
    </row>
    <row r="8" spans="1:4" x14ac:dyDescent="0.25">
      <c r="A8" s="2" t="s">
        <v>60</v>
      </c>
      <c r="B8" s="2" t="s">
        <v>572</v>
      </c>
      <c r="C8" s="2" t="s">
        <v>573</v>
      </c>
      <c r="D8" s="2" t="s">
        <v>455</v>
      </c>
    </row>
    <row r="9" spans="1:4" x14ac:dyDescent="0.25">
      <c r="A9" s="2" t="s">
        <v>40</v>
      </c>
      <c r="B9" s="2" t="s">
        <v>572</v>
      </c>
      <c r="C9" s="2" t="s">
        <v>573</v>
      </c>
      <c r="D9" s="2" t="s">
        <v>456</v>
      </c>
    </row>
    <row r="10" spans="1:4" x14ac:dyDescent="0.25">
      <c r="A10" s="2" t="s">
        <v>41</v>
      </c>
      <c r="B10" s="2" t="s">
        <v>572</v>
      </c>
      <c r="C10" s="2" t="s">
        <v>573</v>
      </c>
      <c r="D10" s="2" t="s">
        <v>457</v>
      </c>
    </row>
    <row r="11" spans="1:4" x14ac:dyDescent="0.25">
      <c r="A11" s="2" t="s">
        <v>44</v>
      </c>
      <c r="B11" s="2" t="s">
        <v>572</v>
      </c>
      <c r="C11" s="2" t="s">
        <v>573</v>
      </c>
      <c r="D11" s="2" t="s">
        <v>458</v>
      </c>
    </row>
    <row r="12" spans="1:4" x14ac:dyDescent="0.25">
      <c r="A12" s="2" t="s">
        <v>61</v>
      </c>
      <c r="B12" s="2" t="s">
        <v>572</v>
      </c>
      <c r="C12" s="2" t="s">
        <v>573</v>
      </c>
      <c r="D12" s="2" t="s">
        <v>459</v>
      </c>
    </row>
    <row r="13" spans="1:4" x14ac:dyDescent="0.25">
      <c r="A13" s="2" t="s">
        <v>88</v>
      </c>
      <c r="B13" s="2" t="s">
        <v>574</v>
      </c>
      <c r="C13" s="2" t="s">
        <v>575</v>
      </c>
      <c r="D13" s="2" t="s">
        <v>460</v>
      </c>
    </row>
    <row r="14" spans="1:4" x14ac:dyDescent="0.25">
      <c r="A14" s="2" t="s">
        <v>87</v>
      </c>
      <c r="B14" s="2" t="s">
        <v>574</v>
      </c>
      <c r="C14" s="2" t="s">
        <v>575</v>
      </c>
      <c r="D14" s="2" t="s">
        <v>461</v>
      </c>
    </row>
    <row r="15" spans="1:4" x14ac:dyDescent="0.25">
      <c r="A15" s="2" t="s">
        <v>86</v>
      </c>
      <c r="B15" s="2" t="s">
        <v>574</v>
      </c>
      <c r="C15" s="2" t="s">
        <v>575</v>
      </c>
      <c r="D15" s="2" t="s">
        <v>462</v>
      </c>
    </row>
    <row r="16" spans="1:4" x14ac:dyDescent="0.25">
      <c r="A16" s="2" t="s">
        <v>85</v>
      </c>
      <c r="B16" s="2" t="s">
        <v>574</v>
      </c>
      <c r="C16" s="2" t="s">
        <v>575</v>
      </c>
      <c r="D16" s="2" t="s">
        <v>463</v>
      </c>
    </row>
    <row r="17" spans="1:4" x14ac:dyDescent="0.25">
      <c r="A17" s="2" t="s">
        <v>68</v>
      </c>
      <c r="B17" s="2" t="s">
        <v>574</v>
      </c>
      <c r="C17" s="2" t="s">
        <v>575</v>
      </c>
      <c r="D17" s="2" t="s">
        <v>464</v>
      </c>
    </row>
    <row r="18" spans="1:4" x14ac:dyDescent="0.25">
      <c r="A18" s="2" t="s">
        <v>66</v>
      </c>
      <c r="B18" s="2" t="s">
        <v>574</v>
      </c>
      <c r="C18" s="2" t="s">
        <v>575</v>
      </c>
      <c r="D18" s="2" t="s">
        <v>465</v>
      </c>
    </row>
    <row r="19" spans="1:4" x14ac:dyDescent="0.25">
      <c r="A19" s="2" t="s">
        <v>65</v>
      </c>
      <c r="B19" s="2" t="s">
        <v>574</v>
      </c>
      <c r="C19" s="2" t="s">
        <v>575</v>
      </c>
      <c r="D19" s="2" t="s">
        <v>466</v>
      </c>
    </row>
    <row r="20" spans="1:4" x14ac:dyDescent="0.25">
      <c r="A20" s="2" t="s">
        <v>32</v>
      </c>
      <c r="B20" s="2" t="s">
        <v>572</v>
      </c>
      <c r="C20" s="2" t="s">
        <v>573</v>
      </c>
      <c r="D20" s="2" t="s">
        <v>467</v>
      </c>
    </row>
    <row r="21" spans="1:4" x14ac:dyDescent="0.25">
      <c r="A21" s="2" t="s">
        <v>29</v>
      </c>
      <c r="B21" s="2" t="s">
        <v>572</v>
      </c>
      <c r="C21" s="2" t="s">
        <v>573</v>
      </c>
      <c r="D21" s="2" t="s">
        <v>468</v>
      </c>
    </row>
    <row r="22" spans="1:4" x14ac:dyDescent="0.25">
      <c r="A22" s="2" t="s">
        <v>72</v>
      </c>
      <c r="B22" s="2" t="s">
        <v>572</v>
      </c>
      <c r="C22" s="2" t="s">
        <v>573</v>
      </c>
      <c r="D22" s="2" t="s">
        <v>469</v>
      </c>
    </row>
    <row r="23" spans="1:4" x14ac:dyDescent="0.25">
      <c r="A23" s="2" t="s">
        <v>33</v>
      </c>
      <c r="B23" s="2" t="s">
        <v>572</v>
      </c>
      <c r="C23" s="2" t="s">
        <v>573</v>
      </c>
      <c r="D23" s="2" t="s">
        <v>470</v>
      </c>
    </row>
    <row r="24" spans="1:4" x14ac:dyDescent="0.25">
      <c r="A24" s="2" t="s">
        <v>31</v>
      </c>
      <c r="B24" s="2" t="s">
        <v>572</v>
      </c>
      <c r="C24" s="2" t="s">
        <v>573</v>
      </c>
      <c r="D24" s="2" t="s">
        <v>471</v>
      </c>
    </row>
    <row r="25" spans="1:4" x14ac:dyDescent="0.25">
      <c r="A25" s="2" t="s">
        <v>26</v>
      </c>
      <c r="B25" s="2" t="s">
        <v>572</v>
      </c>
      <c r="C25" s="2" t="s">
        <v>573</v>
      </c>
      <c r="D25" s="2" t="s">
        <v>472</v>
      </c>
    </row>
    <row r="26" spans="1:4" x14ac:dyDescent="0.25">
      <c r="A26" s="2" t="s">
        <v>71</v>
      </c>
      <c r="B26" s="2" t="s">
        <v>572</v>
      </c>
      <c r="C26" s="2" t="s">
        <v>573</v>
      </c>
      <c r="D26" s="2" t="s">
        <v>473</v>
      </c>
    </row>
    <row r="27" spans="1:4" x14ac:dyDescent="0.25">
      <c r="A27" s="2" t="s">
        <v>70</v>
      </c>
      <c r="B27" s="2" t="s">
        <v>572</v>
      </c>
      <c r="C27" s="2" t="s">
        <v>573</v>
      </c>
      <c r="D27" s="2" t="s">
        <v>474</v>
      </c>
    </row>
    <row r="28" spans="1:4" x14ac:dyDescent="0.25">
      <c r="A28" s="2" t="s">
        <v>63</v>
      </c>
      <c r="B28" s="2" t="s">
        <v>572</v>
      </c>
      <c r="C28" s="2" t="s">
        <v>573</v>
      </c>
      <c r="D28" s="2" t="s">
        <v>475</v>
      </c>
    </row>
    <row r="29" spans="1:4" x14ac:dyDescent="0.25">
      <c r="A29" s="2" t="s">
        <v>28</v>
      </c>
      <c r="B29" s="2" t="s">
        <v>572</v>
      </c>
      <c r="C29" s="2" t="s">
        <v>573</v>
      </c>
      <c r="D29" s="2" t="s">
        <v>476</v>
      </c>
    </row>
    <row r="30" spans="1:4" x14ac:dyDescent="0.25">
      <c r="A30" s="2" t="s">
        <v>52</v>
      </c>
      <c r="B30" s="2" t="s">
        <v>572</v>
      </c>
      <c r="C30" s="2" t="s">
        <v>573</v>
      </c>
      <c r="D30" s="2" t="s">
        <v>477</v>
      </c>
    </row>
    <row r="31" spans="1:4" x14ac:dyDescent="0.25">
      <c r="A31" s="2" t="s">
        <v>30</v>
      </c>
      <c r="B31" s="2" t="s">
        <v>572</v>
      </c>
      <c r="C31" s="2" t="s">
        <v>573</v>
      </c>
      <c r="D31" s="2" t="s">
        <v>478</v>
      </c>
    </row>
    <row r="32" spans="1:4" x14ac:dyDescent="0.25">
      <c r="A32" s="2" t="s">
        <v>62</v>
      </c>
      <c r="B32" s="2" t="s">
        <v>572</v>
      </c>
      <c r="C32" s="2" t="s">
        <v>573</v>
      </c>
      <c r="D32" s="2" t="s">
        <v>479</v>
      </c>
    </row>
    <row r="33" spans="1:4" x14ac:dyDescent="0.25">
      <c r="A33" s="2" t="s">
        <v>25</v>
      </c>
      <c r="B33" s="2" t="s">
        <v>572</v>
      </c>
      <c r="C33" s="2" t="s">
        <v>573</v>
      </c>
      <c r="D33" s="2" t="s">
        <v>480</v>
      </c>
    </row>
    <row r="34" spans="1:4" x14ac:dyDescent="0.25">
      <c r="A34" s="2" t="s">
        <v>27</v>
      </c>
      <c r="B34" s="2" t="s">
        <v>572</v>
      </c>
      <c r="C34" s="2" t="s">
        <v>573</v>
      </c>
      <c r="D34" s="2" t="s">
        <v>481</v>
      </c>
    </row>
    <row r="35" spans="1:4" x14ac:dyDescent="0.25">
      <c r="A35" s="2" t="s">
        <v>48</v>
      </c>
      <c r="B35" s="2" t="s">
        <v>572</v>
      </c>
      <c r="C35" s="2" t="s">
        <v>573</v>
      </c>
      <c r="D35" s="2" t="s">
        <v>482</v>
      </c>
    </row>
    <row r="36" spans="1:4" x14ac:dyDescent="0.25">
      <c r="A36" s="2" t="s">
        <v>42</v>
      </c>
      <c r="B36" s="2" t="s">
        <v>572</v>
      </c>
      <c r="C36" s="2" t="s">
        <v>573</v>
      </c>
      <c r="D36" s="2" t="s">
        <v>483</v>
      </c>
    </row>
    <row r="37" spans="1:4" x14ac:dyDescent="0.25">
      <c r="A37" s="2" t="s">
        <v>79</v>
      </c>
      <c r="B37" s="2" t="s">
        <v>572</v>
      </c>
      <c r="C37" s="2" t="s">
        <v>573</v>
      </c>
      <c r="D37" s="2" t="s">
        <v>484</v>
      </c>
    </row>
    <row r="38" spans="1:4" x14ac:dyDescent="0.25">
      <c r="A38" s="2" t="s">
        <v>59</v>
      </c>
      <c r="B38" s="2" t="s">
        <v>572</v>
      </c>
      <c r="C38" s="2" t="s">
        <v>573</v>
      </c>
      <c r="D38" s="2" t="s">
        <v>485</v>
      </c>
    </row>
    <row r="39" spans="1:4" x14ac:dyDescent="0.25">
      <c r="A39" s="2" t="s">
        <v>39</v>
      </c>
      <c r="B39" s="2" t="s">
        <v>572</v>
      </c>
      <c r="C39" s="2" t="s">
        <v>573</v>
      </c>
      <c r="D39" s="2" t="s">
        <v>486</v>
      </c>
    </row>
    <row r="40" spans="1:4" x14ac:dyDescent="0.25">
      <c r="A40" s="2" t="s">
        <v>45</v>
      </c>
      <c r="B40" s="2" t="s">
        <v>572</v>
      </c>
      <c r="C40" s="2" t="s">
        <v>573</v>
      </c>
      <c r="D40" s="2" t="s">
        <v>487</v>
      </c>
    </row>
    <row r="41" spans="1:4" x14ac:dyDescent="0.25">
      <c r="A41" s="2" t="s">
        <v>58</v>
      </c>
      <c r="B41" s="2" t="s">
        <v>572</v>
      </c>
      <c r="C41" s="2" t="s">
        <v>573</v>
      </c>
      <c r="D41" s="2" t="s">
        <v>488</v>
      </c>
    </row>
    <row r="42" spans="1:4" x14ac:dyDescent="0.25">
      <c r="A42" s="2" t="s">
        <v>76</v>
      </c>
      <c r="B42" s="2" t="s">
        <v>572</v>
      </c>
      <c r="C42" s="2" t="s">
        <v>573</v>
      </c>
      <c r="D42" s="2" t="s">
        <v>489</v>
      </c>
    </row>
    <row r="43" spans="1:4" x14ac:dyDescent="0.25">
      <c r="A43" s="2" t="s">
        <v>69</v>
      </c>
      <c r="B43" s="2" t="s">
        <v>572</v>
      </c>
      <c r="C43" s="2" t="s">
        <v>573</v>
      </c>
      <c r="D43" s="2" t="s">
        <v>490</v>
      </c>
    </row>
    <row r="44" spans="1:4" x14ac:dyDescent="0.25">
      <c r="A44" s="2" t="s">
        <v>47</v>
      </c>
      <c r="B44" s="2" t="s">
        <v>572</v>
      </c>
      <c r="C44" s="2" t="s">
        <v>573</v>
      </c>
      <c r="D44" s="2" t="s">
        <v>491</v>
      </c>
    </row>
    <row r="45" spans="1:4" x14ac:dyDescent="0.25">
      <c r="A45" s="2" t="s">
        <v>56</v>
      </c>
      <c r="B45" s="2" t="s">
        <v>572</v>
      </c>
      <c r="C45" s="2" t="s">
        <v>573</v>
      </c>
      <c r="D45" s="2" t="s">
        <v>492</v>
      </c>
    </row>
    <row r="46" spans="1:4" x14ac:dyDescent="0.25">
      <c r="A46" s="2" t="s">
        <v>67</v>
      </c>
      <c r="B46" s="2" t="s">
        <v>572</v>
      </c>
      <c r="C46" s="2" t="s">
        <v>573</v>
      </c>
      <c r="D46" s="2" t="s">
        <v>493</v>
      </c>
    </row>
    <row r="47" spans="1:4" x14ac:dyDescent="0.25">
      <c r="A47" s="2" t="s">
        <v>77</v>
      </c>
      <c r="B47" s="2" t="s">
        <v>572</v>
      </c>
      <c r="C47" s="2" t="s">
        <v>573</v>
      </c>
      <c r="D47" s="2" t="s">
        <v>494</v>
      </c>
    </row>
    <row r="48" spans="1:4" x14ac:dyDescent="0.25">
      <c r="A48" s="2" t="s">
        <v>50</v>
      </c>
      <c r="B48" s="2" t="s">
        <v>572</v>
      </c>
      <c r="C48" s="2" t="s">
        <v>573</v>
      </c>
      <c r="D48" s="2" t="s">
        <v>495</v>
      </c>
    </row>
    <row r="49" spans="1:4" x14ac:dyDescent="0.25">
      <c r="A49" s="2" t="s">
        <v>64</v>
      </c>
      <c r="B49" s="2" t="s">
        <v>572</v>
      </c>
      <c r="C49" s="2" t="s">
        <v>573</v>
      </c>
      <c r="D49" s="2" t="s">
        <v>496</v>
      </c>
    </row>
    <row r="50" spans="1:4" x14ac:dyDescent="0.25">
      <c r="A50" s="2" t="s">
        <v>54</v>
      </c>
      <c r="B50" s="2" t="s">
        <v>572</v>
      </c>
      <c r="C50" s="2" t="s">
        <v>573</v>
      </c>
      <c r="D50" s="2" t="s">
        <v>497</v>
      </c>
    </row>
    <row r="51" spans="1:4" x14ac:dyDescent="0.25">
      <c r="A51" s="2" t="s">
        <v>24</v>
      </c>
      <c r="B51" s="2" t="s">
        <v>572</v>
      </c>
      <c r="C51" s="2" t="s">
        <v>573</v>
      </c>
      <c r="D51" s="2" t="s">
        <v>498</v>
      </c>
    </row>
    <row r="52" spans="1:4" x14ac:dyDescent="0.25">
      <c r="A52" s="2" t="s">
        <v>57</v>
      </c>
      <c r="B52" s="2" t="s">
        <v>572</v>
      </c>
      <c r="C52" s="2" t="s">
        <v>573</v>
      </c>
      <c r="D52" s="2" t="s">
        <v>499</v>
      </c>
    </row>
    <row r="53" spans="1:4" x14ac:dyDescent="0.25">
      <c r="A53" s="2" t="s">
        <v>53</v>
      </c>
      <c r="B53" s="2" t="s">
        <v>572</v>
      </c>
      <c r="C53" s="2" t="s">
        <v>573</v>
      </c>
      <c r="D53" s="2" t="s">
        <v>500</v>
      </c>
    </row>
    <row r="54" spans="1:4" x14ac:dyDescent="0.25">
      <c r="A54" s="2" t="s">
        <v>89</v>
      </c>
      <c r="B54" s="2" t="s">
        <v>574</v>
      </c>
      <c r="C54" s="2" t="s">
        <v>576</v>
      </c>
      <c r="D54" s="2" t="s">
        <v>501</v>
      </c>
    </row>
    <row r="55" spans="1:4" x14ac:dyDescent="0.25">
      <c r="A55" s="2" t="s">
        <v>83</v>
      </c>
      <c r="B55" s="2" t="s">
        <v>574</v>
      </c>
      <c r="C55" s="2" t="s">
        <v>576</v>
      </c>
      <c r="D55" s="2" t="s">
        <v>502</v>
      </c>
    </row>
    <row r="56" spans="1:4" x14ac:dyDescent="0.25">
      <c r="A56" s="2" t="s">
        <v>81</v>
      </c>
      <c r="B56" s="2" t="s">
        <v>572</v>
      </c>
      <c r="C56" s="2" t="s">
        <v>576</v>
      </c>
      <c r="D56" s="2" t="s">
        <v>503</v>
      </c>
    </row>
    <row r="57" spans="1:4" x14ac:dyDescent="0.25">
      <c r="A57" s="2" t="s">
        <v>23</v>
      </c>
      <c r="B57" s="2" t="s">
        <v>572</v>
      </c>
      <c r="C57" s="2" t="s">
        <v>576</v>
      </c>
      <c r="D57" s="2" t="s">
        <v>504</v>
      </c>
    </row>
    <row r="58" spans="1:4" x14ac:dyDescent="0.25">
      <c r="A58" s="2" t="s">
        <v>90</v>
      </c>
      <c r="B58" s="2" t="s">
        <v>572</v>
      </c>
      <c r="C58" s="2" t="s">
        <v>576</v>
      </c>
      <c r="D58" s="2" t="s">
        <v>505</v>
      </c>
    </row>
    <row r="59" spans="1:4" x14ac:dyDescent="0.25">
      <c r="A59" s="2" t="s">
        <v>73</v>
      </c>
      <c r="B59" s="2" t="s">
        <v>572</v>
      </c>
      <c r="C59" s="2" t="s">
        <v>576</v>
      </c>
      <c r="D59" s="2" t="s">
        <v>506</v>
      </c>
    </row>
    <row r="60" spans="1:4" x14ac:dyDescent="0.25">
      <c r="A60" s="2" t="s">
        <v>74</v>
      </c>
      <c r="B60" s="2" t="s">
        <v>572</v>
      </c>
      <c r="C60" s="2" t="s">
        <v>576</v>
      </c>
      <c r="D60" s="2" t="s">
        <v>507</v>
      </c>
    </row>
    <row r="61" spans="1:4" x14ac:dyDescent="0.25">
      <c r="A61" s="2" t="s">
        <v>82</v>
      </c>
      <c r="B61" s="2" t="s">
        <v>577</v>
      </c>
      <c r="C61" s="2" t="s">
        <v>576</v>
      </c>
      <c r="D61" s="2" t="s">
        <v>508</v>
      </c>
    </row>
    <row r="62" spans="1:4" x14ac:dyDescent="0.25">
      <c r="A62" s="2" t="s">
        <v>35</v>
      </c>
      <c r="B62" s="2" t="s">
        <v>578</v>
      </c>
      <c r="C62" s="2" t="s">
        <v>576</v>
      </c>
      <c r="D62" s="2" t="s">
        <v>509</v>
      </c>
    </row>
    <row r="63" spans="1:4" x14ac:dyDescent="0.25">
      <c r="A63" s="2" t="s">
        <v>84</v>
      </c>
      <c r="B63" s="2" t="s">
        <v>574</v>
      </c>
      <c r="C63" s="2" t="s">
        <v>576</v>
      </c>
      <c r="D63" s="2" t="s">
        <v>510</v>
      </c>
    </row>
    <row r="64" spans="1:4" x14ac:dyDescent="0.25">
      <c r="A64" s="2" t="s">
        <v>80</v>
      </c>
      <c r="B64" s="2" t="s">
        <v>574</v>
      </c>
      <c r="C64" s="2" t="s">
        <v>576</v>
      </c>
      <c r="D64" s="2" t="s">
        <v>511</v>
      </c>
    </row>
    <row r="65" spans="1:4" x14ac:dyDescent="0.25">
      <c r="A65" s="2" t="s">
        <v>78</v>
      </c>
      <c r="B65" s="2" t="s">
        <v>572</v>
      </c>
      <c r="C65" s="2" t="s">
        <v>576</v>
      </c>
      <c r="D65" s="2" t="s">
        <v>512</v>
      </c>
    </row>
    <row r="66" spans="1:4" x14ac:dyDescent="0.25">
      <c r="A66" s="2" t="s">
        <v>91</v>
      </c>
      <c r="B66" s="2" t="s">
        <v>572</v>
      </c>
      <c r="C66" s="2" t="s">
        <v>576</v>
      </c>
      <c r="D66" s="2" t="s">
        <v>513</v>
      </c>
    </row>
    <row r="67" spans="1:4" x14ac:dyDescent="0.25">
      <c r="A67" s="2" t="s">
        <v>34</v>
      </c>
      <c r="B67" s="2" t="s">
        <v>572</v>
      </c>
      <c r="C67" s="2" t="s">
        <v>576</v>
      </c>
      <c r="D67" s="2" t="s">
        <v>514</v>
      </c>
    </row>
    <row r="68" spans="1:4" x14ac:dyDescent="0.25">
      <c r="A68" s="2" t="s">
        <v>94</v>
      </c>
      <c r="B68" s="2" t="s">
        <v>574</v>
      </c>
      <c r="C68" s="2" t="s">
        <v>576</v>
      </c>
      <c r="D68" s="2" t="s">
        <v>515</v>
      </c>
    </row>
    <row r="69" spans="1:4" x14ac:dyDescent="0.25">
      <c r="A69" s="2" t="s">
        <v>93</v>
      </c>
      <c r="B69" s="2" t="s">
        <v>572</v>
      </c>
      <c r="C69" s="2" t="s">
        <v>576</v>
      </c>
      <c r="D69" s="2" t="s">
        <v>516</v>
      </c>
    </row>
    <row r="70" spans="1:4" x14ac:dyDescent="0.25">
      <c r="A70" s="2" t="s">
        <v>37</v>
      </c>
      <c r="B70" s="2" t="s">
        <v>578</v>
      </c>
      <c r="C70" s="2" t="s">
        <v>576</v>
      </c>
      <c r="D70" s="2" t="s">
        <v>517</v>
      </c>
    </row>
    <row r="71" spans="1:4" x14ac:dyDescent="0.25">
      <c r="A71" s="2" t="s">
        <v>43</v>
      </c>
      <c r="B71" s="2" t="s">
        <v>578</v>
      </c>
      <c r="C71" s="2" t="s">
        <v>576</v>
      </c>
      <c r="D71" s="2" t="s">
        <v>518</v>
      </c>
    </row>
    <row r="72" spans="1:4" x14ac:dyDescent="0.25">
      <c r="A72" s="2" t="s">
        <v>92</v>
      </c>
      <c r="B72" s="2" t="s">
        <v>572</v>
      </c>
      <c r="C72" s="2" t="s">
        <v>576</v>
      </c>
      <c r="D72" s="2" t="s">
        <v>519</v>
      </c>
    </row>
    <row r="73" spans="1:4" x14ac:dyDescent="0.25">
      <c r="A73" s="2" t="s">
        <v>38</v>
      </c>
      <c r="B73" s="2" t="s">
        <v>572</v>
      </c>
      <c r="C73" s="2" t="s">
        <v>576</v>
      </c>
      <c r="D73" s="2" t="s">
        <v>520</v>
      </c>
    </row>
    <row r="74" spans="1:4" x14ac:dyDescent="0.25">
      <c r="A74" s="2" t="s">
        <v>75</v>
      </c>
      <c r="B74" s="2" t="s">
        <v>572</v>
      </c>
      <c r="C74" s="2" t="s">
        <v>576</v>
      </c>
      <c r="D74" s="2" t="s">
        <v>521</v>
      </c>
    </row>
    <row r="75" spans="1:4" x14ac:dyDescent="0.25">
      <c r="A75" s="1"/>
      <c r="B75" s="1"/>
      <c r="C75" s="1"/>
      <c r="D75" s="1"/>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A91AD-51FC-45F0-8E9F-FCEA0D8545B7}">
  <dimension ref="A1:H25"/>
  <sheetViews>
    <sheetView workbookViewId="0">
      <selection activeCell="C11" sqref="C11"/>
    </sheetView>
  </sheetViews>
  <sheetFormatPr defaultColWidth="8.7109375" defaultRowHeight="15" x14ac:dyDescent="0.25"/>
  <cols>
    <col min="1" max="1" width="44.28515625" style="1" bestFit="1" customWidth="1"/>
    <col min="2" max="8" width="14.28515625" style="1" customWidth="1"/>
    <col min="9" max="16384" width="8.7109375" style="1"/>
  </cols>
  <sheetData>
    <row r="1" spans="1:8" x14ac:dyDescent="0.25">
      <c r="A1" s="50" t="s">
        <v>588</v>
      </c>
      <c r="B1" s="50"/>
      <c r="C1" s="50"/>
      <c r="D1" s="50"/>
      <c r="E1" s="50"/>
      <c r="F1" s="50"/>
      <c r="G1" s="50"/>
      <c r="H1" s="50"/>
    </row>
    <row r="2" spans="1:8" ht="33" x14ac:dyDescent="0.25">
      <c r="A2" s="2" t="s">
        <v>579</v>
      </c>
      <c r="B2" s="40" t="s">
        <v>582</v>
      </c>
      <c r="C2" s="40" t="s">
        <v>583</v>
      </c>
      <c r="D2" s="45" t="s">
        <v>584</v>
      </c>
      <c r="E2" s="37" t="s">
        <v>585</v>
      </c>
      <c r="F2" s="45" t="s">
        <v>586</v>
      </c>
      <c r="G2" s="37" t="s">
        <v>587</v>
      </c>
      <c r="H2" s="37" t="s">
        <v>580</v>
      </c>
    </row>
    <row r="3" spans="1:8" x14ac:dyDescent="0.25">
      <c r="A3" s="10" t="s">
        <v>1</v>
      </c>
      <c r="B3" s="46">
        <v>0.01</v>
      </c>
      <c r="C3" s="9">
        <v>1.5</v>
      </c>
      <c r="D3" s="47">
        <v>2.7</v>
      </c>
      <c r="E3" s="12">
        <v>3</v>
      </c>
      <c r="F3" s="47">
        <v>0.45</v>
      </c>
      <c r="G3" s="1">
        <v>21</v>
      </c>
      <c r="H3" s="10">
        <v>10.5</v>
      </c>
    </row>
    <row r="4" spans="1:8" x14ac:dyDescent="0.25">
      <c r="A4" s="10" t="s">
        <v>2</v>
      </c>
      <c r="B4" s="47">
        <v>0.01</v>
      </c>
      <c r="C4" s="12">
        <v>1.5</v>
      </c>
      <c r="D4" s="47">
        <v>24.96</v>
      </c>
      <c r="E4" s="12">
        <v>19</v>
      </c>
      <c r="F4" s="47">
        <v>2.34</v>
      </c>
      <c r="G4" s="1">
        <v>12</v>
      </c>
      <c r="H4" s="10">
        <v>17</v>
      </c>
    </row>
    <row r="5" spans="1:8" x14ac:dyDescent="0.25">
      <c r="A5" s="10" t="s">
        <v>3</v>
      </c>
      <c r="B5" s="47">
        <v>2.5000000000000001E-2</v>
      </c>
      <c r="C5" s="12">
        <v>4</v>
      </c>
      <c r="D5" s="47">
        <v>0.26</v>
      </c>
      <c r="E5" s="12">
        <v>1</v>
      </c>
      <c r="F5" s="47">
        <v>17.600000000000001</v>
      </c>
      <c r="G5" s="1">
        <v>1</v>
      </c>
      <c r="H5" s="10">
        <v>1</v>
      </c>
    </row>
    <row r="6" spans="1:8" x14ac:dyDescent="0.25">
      <c r="A6" s="10" t="s">
        <v>5</v>
      </c>
      <c r="B6" s="47">
        <v>2.5000000000000001E-2</v>
      </c>
      <c r="C6" s="12">
        <v>4</v>
      </c>
      <c r="D6" s="47">
        <v>17.75</v>
      </c>
      <c r="E6" s="12">
        <v>15</v>
      </c>
      <c r="F6" s="47">
        <v>1.0900000000000001</v>
      </c>
      <c r="G6" s="1">
        <v>18</v>
      </c>
      <c r="H6" s="10">
        <v>21</v>
      </c>
    </row>
    <row r="7" spans="1:8" x14ac:dyDescent="0.25">
      <c r="A7" s="10" t="s">
        <v>4</v>
      </c>
      <c r="B7" s="47">
        <v>2.5000000000000001E-2</v>
      </c>
      <c r="C7" s="12">
        <v>4</v>
      </c>
      <c r="D7" s="47">
        <v>19.57</v>
      </c>
      <c r="E7" s="12">
        <v>17</v>
      </c>
      <c r="F7" s="47">
        <v>4.3899999999999997</v>
      </c>
      <c r="G7" s="1">
        <v>9</v>
      </c>
      <c r="H7" s="10">
        <v>14.5</v>
      </c>
    </row>
    <row r="8" spans="1:8" x14ac:dyDescent="0.25">
      <c r="A8" s="10" t="s">
        <v>6</v>
      </c>
      <c r="B8" s="47">
        <v>0.04</v>
      </c>
      <c r="C8" s="12">
        <v>6</v>
      </c>
      <c r="D8" s="47">
        <v>5.16</v>
      </c>
      <c r="E8" s="12">
        <v>7</v>
      </c>
      <c r="F8" s="47">
        <v>7.26</v>
      </c>
      <c r="G8" s="1">
        <v>6</v>
      </c>
      <c r="H8" s="10">
        <v>3</v>
      </c>
    </row>
    <row r="9" spans="1:8" x14ac:dyDescent="0.25">
      <c r="A9" s="10" t="s">
        <v>7</v>
      </c>
      <c r="B9" s="47">
        <v>0.05</v>
      </c>
      <c r="C9" s="12">
        <v>8.5</v>
      </c>
      <c r="D9" s="47">
        <v>4.78</v>
      </c>
      <c r="E9" s="12">
        <v>5</v>
      </c>
      <c r="F9" s="47">
        <v>2.4900000000000002</v>
      </c>
      <c r="G9" s="1">
        <v>11</v>
      </c>
      <c r="H9" s="10">
        <v>4</v>
      </c>
    </row>
    <row r="10" spans="1:8" x14ac:dyDescent="0.25">
      <c r="A10" s="10" t="s">
        <v>10</v>
      </c>
      <c r="B10" s="47">
        <v>0.05</v>
      </c>
      <c r="C10" s="12">
        <v>8.5</v>
      </c>
      <c r="D10" s="47">
        <v>15</v>
      </c>
      <c r="E10" s="12">
        <v>14</v>
      </c>
      <c r="F10" s="47">
        <v>8.15</v>
      </c>
      <c r="G10" s="1">
        <v>5</v>
      </c>
      <c r="H10" s="10">
        <v>6.5</v>
      </c>
    </row>
    <row r="11" spans="1:8" x14ac:dyDescent="0.25">
      <c r="A11" s="10" t="s">
        <v>9</v>
      </c>
      <c r="B11" s="47">
        <v>0.05</v>
      </c>
      <c r="C11" s="12">
        <v>8.5</v>
      </c>
      <c r="D11" s="47">
        <v>22.17</v>
      </c>
      <c r="E11" s="12">
        <v>18</v>
      </c>
      <c r="F11" s="47">
        <v>4.91</v>
      </c>
      <c r="G11" s="1">
        <v>8</v>
      </c>
      <c r="H11" s="10">
        <v>14.5</v>
      </c>
    </row>
    <row r="12" spans="1:8" x14ac:dyDescent="0.25">
      <c r="A12" s="10" t="s">
        <v>8</v>
      </c>
      <c r="B12" s="47">
        <v>0.05</v>
      </c>
      <c r="C12" s="12">
        <v>8.5</v>
      </c>
      <c r="D12" s="47">
        <v>39.53</v>
      </c>
      <c r="E12" s="12">
        <v>21</v>
      </c>
      <c r="F12" s="47">
        <v>0.72</v>
      </c>
      <c r="G12" s="1">
        <v>19</v>
      </c>
      <c r="H12" s="10">
        <v>23</v>
      </c>
    </row>
    <row r="13" spans="1:8" x14ac:dyDescent="0.25">
      <c r="A13" s="10" t="s">
        <v>11</v>
      </c>
      <c r="B13" s="47">
        <v>0.1</v>
      </c>
      <c r="C13" s="12">
        <v>11</v>
      </c>
      <c r="D13" s="47">
        <v>53.69</v>
      </c>
      <c r="E13" s="12">
        <v>23</v>
      </c>
      <c r="F13" s="47">
        <v>6.5</v>
      </c>
      <c r="G13" s="1">
        <v>7</v>
      </c>
      <c r="H13" s="10">
        <v>16</v>
      </c>
    </row>
    <row r="14" spans="1:8" x14ac:dyDescent="0.25">
      <c r="A14" s="10" t="s">
        <v>12</v>
      </c>
      <c r="B14" s="47">
        <v>0.12</v>
      </c>
      <c r="C14" s="12">
        <v>12</v>
      </c>
      <c r="D14" s="47">
        <v>0.43</v>
      </c>
      <c r="E14" s="12">
        <v>2</v>
      </c>
      <c r="F14" s="47">
        <v>0.15</v>
      </c>
      <c r="G14" s="1">
        <v>23</v>
      </c>
      <c r="H14" s="10">
        <v>12.5</v>
      </c>
    </row>
    <row r="15" spans="1:8" x14ac:dyDescent="0.25">
      <c r="A15" s="10" t="s">
        <v>13</v>
      </c>
      <c r="B15" s="47">
        <v>0.2</v>
      </c>
      <c r="C15" s="12">
        <v>13.5</v>
      </c>
      <c r="D15" s="47">
        <v>9.7200000000000006</v>
      </c>
      <c r="E15" s="12">
        <v>10</v>
      </c>
      <c r="F15" s="47">
        <v>0.31</v>
      </c>
      <c r="G15" s="1">
        <v>22</v>
      </c>
      <c r="H15" s="10">
        <v>19</v>
      </c>
    </row>
    <row r="16" spans="1:8" x14ac:dyDescent="0.25">
      <c r="A16" s="10" t="s">
        <v>581</v>
      </c>
      <c r="B16" s="47">
        <v>0.2</v>
      </c>
      <c r="C16" s="12">
        <v>13.5</v>
      </c>
      <c r="D16" s="47">
        <v>10.23</v>
      </c>
      <c r="E16" s="12">
        <v>11</v>
      </c>
      <c r="F16" s="47">
        <v>2.2400000000000002</v>
      </c>
      <c r="G16" s="1">
        <v>13</v>
      </c>
      <c r="H16" s="10">
        <v>10.5</v>
      </c>
    </row>
    <row r="17" spans="1:8" x14ac:dyDescent="0.25">
      <c r="A17" s="10" t="s">
        <v>14</v>
      </c>
      <c r="B17" s="47">
        <v>0.23</v>
      </c>
      <c r="C17" s="12">
        <v>15</v>
      </c>
      <c r="D17" s="47">
        <v>13.09</v>
      </c>
      <c r="E17" s="12">
        <v>12</v>
      </c>
      <c r="F17" s="47">
        <v>0.66</v>
      </c>
      <c r="G17" s="1">
        <v>20</v>
      </c>
      <c r="H17" s="10">
        <v>19</v>
      </c>
    </row>
    <row r="18" spans="1:8" x14ac:dyDescent="0.25">
      <c r="A18" s="10" t="s">
        <v>15</v>
      </c>
      <c r="B18" s="47">
        <v>0.25</v>
      </c>
      <c r="C18" s="12">
        <v>16</v>
      </c>
      <c r="D18" s="47">
        <v>48.14</v>
      </c>
      <c r="E18" s="12">
        <v>22</v>
      </c>
      <c r="F18" s="47">
        <v>4.2</v>
      </c>
      <c r="G18" s="1">
        <v>10</v>
      </c>
      <c r="H18" s="10">
        <v>19</v>
      </c>
    </row>
    <row r="19" spans="1:8" x14ac:dyDescent="0.25">
      <c r="A19" s="10" t="s">
        <v>16</v>
      </c>
      <c r="B19" s="47">
        <v>0.36</v>
      </c>
      <c r="C19" s="12">
        <v>17</v>
      </c>
      <c r="D19" s="47">
        <v>5.09</v>
      </c>
      <c r="E19" s="12">
        <v>6</v>
      </c>
      <c r="F19" s="47">
        <v>2.1800000000000002</v>
      </c>
      <c r="G19" s="1">
        <v>15</v>
      </c>
      <c r="H19" s="10">
        <v>8</v>
      </c>
    </row>
    <row r="20" spans="1:8" x14ac:dyDescent="0.25">
      <c r="A20" s="10" t="s">
        <v>17</v>
      </c>
      <c r="B20" s="47">
        <v>0.5</v>
      </c>
      <c r="C20" s="12">
        <v>18</v>
      </c>
      <c r="D20" s="47">
        <v>7.5</v>
      </c>
      <c r="E20" s="12">
        <v>9</v>
      </c>
      <c r="F20" s="47">
        <v>2.14</v>
      </c>
      <c r="G20" s="1">
        <v>16</v>
      </c>
      <c r="H20" s="10">
        <v>12.5</v>
      </c>
    </row>
    <row r="21" spans="1:8" x14ac:dyDescent="0.25">
      <c r="A21" s="10" t="s">
        <v>18</v>
      </c>
      <c r="B21" s="47">
        <v>2</v>
      </c>
      <c r="C21" s="12">
        <v>19</v>
      </c>
      <c r="D21" s="47">
        <v>32.090000000000003</v>
      </c>
      <c r="E21" s="12">
        <v>20</v>
      </c>
      <c r="F21" s="47">
        <v>1.39</v>
      </c>
      <c r="G21" s="1">
        <v>17</v>
      </c>
      <c r="H21" s="10">
        <v>22</v>
      </c>
    </row>
    <row r="22" spans="1:8" x14ac:dyDescent="0.25">
      <c r="A22" s="10" t="s">
        <v>19</v>
      </c>
      <c r="B22" s="47">
        <v>2.5</v>
      </c>
      <c r="C22" s="12">
        <v>20</v>
      </c>
      <c r="D22" s="47">
        <v>2.77</v>
      </c>
      <c r="E22" s="12">
        <v>4</v>
      </c>
      <c r="F22" s="47">
        <v>15.1</v>
      </c>
      <c r="G22" s="1">
        <v>2</v>
      </c>
      <c r="H22" s="10">
        <v>2</v>
      </c>
    </row>
    <row r="23" spans="1:8" x14ac:dyDescent="0.25">
      <c r="A23" s="10" t="s">
        <v>20</v>
      </c>
      <c r="B23" s="47">
        <v>2.7</v>
      </c>
      <c r="C23" s="12">
        <v>21</v>
      </c>
      <c r="D23" s="47">
        <v>19.059999999999999</v>
      </c>
      <c r="E23" s="12">
        <v>16</v>
      </c>
      <c r="F23" s="47">
        <v>12.4</v>
      </c>
      <c r="G23" s="1">
        <v>3</v>
      </c>
      <c r="H23" s="10">
        <v>6.5</v>
      </c>
    </row>
    <row r="24" spans="1:8" x14ac:dyDescent="0.25">
      <c r="A24" s="10" t="s">
        <v>21</v>
      </c>
      <c r="B24" s="47">
        <v>5</v>
      </c>
      <c r="C24" s="12">
        <v>22</v>
      </c>
      <c r="D24" s="47">
        <v>14.33</v>
      </c>
      <c r="E24" s="12">
        <v>13</v>
      </c>
      <c r="F24" s="48">
        <v>11</v>
      </c>
      <c r="G24" s="1">
        <v>4</v>
      </c>
      <c r="H24" s="10">
        <v>5</v>
      </c>
    </row>
    <row r="25" spans="1:8" x14ac:dyDescent="0.25">
      <c r="A25" s="13" t="s">
        <v>22</v>
      </c>
      <c r="B25" s="49">
        <v>25</v>
      </c>
      <c r="C25" s="16">
        <v>23</v>
      </c>
      <c r="D25" s="49">
        <v>5.58</v>
      </c>
      <c r="E25" s="16">
        <v>8</v>
      </c>
      <c r="F25" s="49">
        <v>2.21</v>
      </c>
      <c r="G25" s="14">
        <v>14</v>
      </c>
      <c r="H25" s="13">
        <v>9</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S1</vt:lpstr>
      <vt:lpstr>Table S2</vt:lpstr>
      <vt:lpstr>Table S3</vt:lpstr>
      <vt:lpstr>Table S4</vt:lpstr>
      <vt:lpstr>Table S5</vt:lpstr>
      <vt:lpstr>Table 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Siena Illa</dc:creator>
  <cp:lastModifiedBy>Dingsheng Li</cp:lastModifiedBy>
  <dcterms:created xsi:type="dcterms:W3CDTF">2024-06-12T15:02:33Z</dcterms:created>
  <dcterms:modified xsi:type="dcterms:W3CDTF">2025-04-10T15:03:04Z</dcterms:modified>
</cp:coreProperties>
</file>